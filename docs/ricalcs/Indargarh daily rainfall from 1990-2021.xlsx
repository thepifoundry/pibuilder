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EP 11_Rainfall Analysis\Indargarh_Rainfall Station\"/>
    </mc:Choice>
  </mc:AlternateContent>
  <xr:revisionPtr revIDLastSave="0" documentId="13_ncr:1_{245645A3-8222-4B1C-AC03-4810619D660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ainfall Analysis (2)" sheetId="35" state="hidden" r:id="rId1"/>
    <sheet name="Rainfall Analysis (3)" sheetId="36" state="hidden" r:id="rId2"/>
    <sheet name="Rainfall Analysis" sheetId="34" r:id="rId3"/>
    <sheet name="2021" sheetId="32" r:id="rId4"/>
    <sheet name="2020" sheetId="31" r:id="rId5"/>
    <sheet name="2019" sheetId="30" r:id="rId6"/>
    <sheet name="2018" sheetId="29" r:id="rId7"/>
    <sheet name="2017" sheetId="28" r:id="rId8"/>
    <sheet name="2016" sheetId="27" r:id="rId9"/>
    <sheet name="2015" sheetId="26" r:id="rId10"/>
    <sheet name="2014" sheetId="25" r:id="rId11"/>
    <sheet name="2013" sheetId="24" r:id="rId12"/>
    <sheet name="2012" sheetId="23" r:id="rId13"/>
    <sheet name="2011" sheetId="22" r:id="rId14"/>
    <sheet name="2010" sheetId="21" r:id="rId15"/>
    <sheet name="2009" sheetId="20" r:id="rId16"/>
    <sheet name="2007" sheetId="19" r:id="rId17"/>
    <sheet name="2006" sheetId="18" r:id="rId18"/>
    <sheet name="2005" sheetId="17" r:id="rId19"/>
    <sheet name="2004" sheetId="16" r:id="rId20"/>
    <sheet name="2003" sheetId="15" r:id="rId21"/>
    <sheet name="2002" sheetId="14" r:id="rId22"/>
    <sheet name="2001" sheetId="13" r:id="rId23"/>
    <sheet name="2000" sheetId="12" r:id="rId24"/>
    <sheet name="1999" sheetId="11" r:id="rId25"/>
    <sheet name="1998" sheetId="10" r:id="rId26"/>
    <sheet name="1997" sheetId="9" r:id="rId27"/>
    <sheet name="1996" sheetId="8" r:id="rId28"/>
    <sheet name="1995" sheetId="7" r:id="rId29"/>
    <sheet name="1994" sheetId="6" r:id="rId30"/>
    <sheet name="1993" sheetId="5" r:id="rId31"/>
    <sheet name="1992" sheetId="4" r:id="rId32"/>
    <sheet name="1991" sheetId="3" r:id="rId33"/>
    <sheet name="1990" sheetId="2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34" l="1"/>
  <c r="S42" i="36"/>
  <c r="R42" i="36"/>
  <c r="Q42" i="36"/>
  <c r="P42" i="36"/>
  <c r="O42" i="36"/>
  <c r="K42" i="36"/>
  <c r="J42" i="36"/>
  <c r="I42" i="36"/>
  <c r="H42" i="36"/>
  <c r="G42" i="36"/>
  <c r="R36" i="36"/>
  <c r="Q36" i="36"/>
  <c r="P36" i="36"/>
  <c r="O36" i="36"/>
  <c r="K36" i="36"/>
  <c r="S36" i="36" s="1"/>
  <c r="J36" i="36"/>
  <c r="I36" i="36"/>
  <c r="H36" i="36"/>
  <c r="G36" i="36"/>
  <c r="P35" i="36"/>
  <c r="O35" i="36"/>
  <c r="K35" i="36"/>
  <c r="S35" i="36" s="1"/>
  <c r="J35" i="36"/>
  <c r="R35" i="36" s="1"/>
  <c r="I35" i="36"/>
  <c r="Q35" i="36" s="1"/>
  <c r="H35" i="36"/>
  <c r="G35" i="36"/>
  <c r="K34" i="36"/>
  <c r="S34" i="36" s="1"/>
  <c r="J34" i="36"/>
  <c r="R34" i="36" s="1"/>
  <c r="I34" i="36"/>
  <c r="Q34" i="36" s="1"/>
  <c r="H34" i="36"/>
  <c r="P34" i="36" s="1"/>
  <c r="G34" i="36"/>
  <c r="O34" i="36" s="1"/>
  <c r="S33" i="36"/>
  <c r="Q33" i="36"/>
  <c r="K33" i="36"/>
  <c r="J33" i="36"/>
  <c r="R33" i="36" s="1"/>
  <c r="I33" i="36"/>
  <c r="H33" i="36"/>
  <c r="P33" i="36" s="1"/>
  <c r="G33" i="36"/>
  <c r="O33" i="36" s="1"/>
  <c r="S32" i="36"/>
  <c r="R32" i="36"/>
  <c r="Q32" i="36"/>
  <c r="K32" i="36"/>
  <c r="J32" i="36"/>
  <c r="I32" i="36"/>
  <c r="H32" i="36"/>
  <c r="P32" i="36" s="1"/>
  <c r="G32" i="36"/>
  <c r="O32" i="36" s="1"/>
  <c r="S31" i="36"/>
  <c r="R31" i="36"/>
  <c r="Q31" i="36"/>
  <c r="P31" i="36"/>
  <c r="O31" i="36"/>
  <c r="K31" i="36"/>
  <c r="J31" i="36"/>
  <c r="I31" i="36"/>
  <c r="H31" i="36"/>
  <c r="G31" i="36"/>
  <c r="R30" i="36"/>
  <c r="Q30" i="36"/>
  <c r="P30" i="36"/>
  <c r="O30" i="36"/>
  <c r="K30" i="36"/>
  <c r="S30" i="36" s="1"/>
  <c r="J30" i="36"/>
  <c r="I30" i="36"/>
  <c r="H30" i="36"/>
  <c r="G30" i="36"/>
  <c r="P29" i="36"/>
  <c r="O29" i="36"/>
  <c r="K29" i="36"/>
  <c r="S29" i="36" s="1"/>
  <c r="J29" i="36"/>
  <c r="R29" i="36" s="1"/>
  <c r="I29" i="36"/>
  <c r="Q29" i="36" s="1"/>
  <c r="H29" i="36"/>
  <c r="G29" i="36"/>
  <c r="K28" i="36"/>
  <c r="S28" i="36" s="1"/>
  <c r="J28" i="36"/>
  <c r="R28" i="36" s="1"/>
  <c r="I28" i="36"/>
  <c r="Q28" i="36" s="1"/>
  <c r="H28" i="36"/>
  <c r="P28" i="36" s="1"/>
  <c r="G28" i="36"/>
  <c r="O28" i="36" s="1"/>
  <c r="S27" i="36"/>
  <c r="Q27" i="36"/>
  <c r="K27" i="36"/>
  <c r="J27" i="36"/>
  <c r="R27" i="36" s="1"/>
  <c r="I27" i="36"/>
  <c r="H27" i="36"/>
  <c r="P27" i="36" s="1"/>
  <c r="G27" i="36"/>
  <c r="O27" i="36" s="1"/>
  <c r="S26" i="36"/>
  <c r="R26" i="36"/>
  <c r="K26" i="36"/>
  <c r="J26" i="36"/>
  <c r="I26" i="36"/>
  <c r="Q26" i="36" s="1"/>
  <c r="H26" i="36"/>
  <c r="P26" i="36" s="1"/>
  <c r="G26" i="36"/>
  <c r="O26" i="36" s="1"/>
  <c r="S25" i="36"/>
  <c r="R25" i="36"/>
  <c r="Q25" i="36"/>
  <c r="P25" i="36"/>
  <c r="K25" i="36"/>
  <c r="J25" i="36"/>
  <c r="I25" i="36"/>
  <c r="H25" i="36"/>
  <c r="G25" i="36"/>
  <c r="O25" i="36" s="1"/>
  <c r="R24" i="36"/>
  <c r="Q24" i="36"/>
  <c r="P24" i="36"/>
  <c r="O24" i="36"/>
  <c r="K24" i="36"/>
  <c r="S24" i="36" s="1"/>
  <c r="J24" i="36"/>
  <c r="I24" i="36"/>
  <c r="H24" i="36"/>
  <c r="G24" i="36"/>
  <c r="P23" i="36"/>
  <c r="O23" i="36"/>
  <c r="K23" i="36"/>
  <c r="S23" i="36" s="1"/>
  <c r="J23" i="36"/>
  <c r="R23" i="36" s="1"/>
  <c r="I23" i="36"/>
  <c r="Q23" i="36" s="1"/>
  <c r="H23" i="36"/>
  <c r="G23" i="36"/>
  <c r="K22" i="36"/>
  <c r="S22" i="36" s="1"/>
  <c r="J22" i="36"/>
  <c r="R22" i="36" s="1"/>
  <c r="I22" i="36"/>
  <c r="Q22" i="36" s="1"/>
  <c r="H22" i="36"/>
  <c r="P22" i="36" s="1"/>
  <c r="G22" i="36"/>
  <c r="O22" i="36" s="1"/>
  <c r="K21" i="36"/>
  <c r="S21" i="36" s="1"/>
  <c r="J21" i="36"/>
  <c r="R21" i="36" s="1"/>
  <c r="I21" i="36"/>
  <c r="Q21" i="36" s="1"/>
  <c r="H21" i="36"/>
  <c r="P21" i="36" s="1"/>
  <c r="G21" i="36"/>
  <c r="O21" i="36" s="1"/>
  <c r="S20" i="36"/>
  <c r="R20" i="36"/>
  <c r="K20" i="36"/>
  <c r="J20" i="36"/>
  <c r="I20" i="36"/>
  <c r="Q20" i="36" s="1"/>
  <c r="H20" i="36"/>
  <c r="P20" i="36" s="1"/>
  <c r="G20" i="36"/>
  <c r="O20" i="36" s="1"/>
  <c r="S19" i="36"/>
  <c r="R19" i="36"/>
  <c r="Q19" i="36"/>
  <c r="P19" i="36"/>
  <c r="K19" i="36"/>
  <c r="J19" i="36"/>
  <c r="I19" i="36"/>
  <c r="H19" i="36"/>
  <c r="G19" i="36"/>
  <c r="O19" i="36" s="1"/>
  <c r="R18" i="36"/>
  <c r="Q18" i="36"/>
  <c r="P18" i="36"/>
  <c r="O18" i="36"/>
  <c r="K18" i="36"/>
  <c r="S18" i="36" s="1"/>
  <c r="J18" i="36"/>
  <c r="I18" i="36"/>
  <c r="H18" i="36"/>
  <c r="G18" i="36"/>
  <c r="P17" i="36"/>
  <c r="O17" i="36"/>
  <c r="K17" i="36"/>
  <c r="S17" i="36" s="1"/>
  <c r="J17" i="36"/>
  <c r="R17" i="36" s="1"/>
  <c r="I17" i="36"/>
  <c r="Q17" i="36" s="1"/>
  <c r="H17" i="36"/>
  <c r="G17" i="36"/>
  <c r="K16" i="36"/>
  <c r="S16" i="36" s="1"/>
  <c r="J16" i="36"/>
  <c r="R16" i="36" s="1"/>
  <c r="I16" i="36"/>
  <c r="Q16" i="36" s="1"/>
  <c r="H16" i="36"/>
  <c r="P16" i="36" s="1"/>
  <c r="G16" i="36"/>
  <c r="O16" i="36" s="1"/>
  <c r="K15" i="36"/>
  <c r="S15" i="36" s="1"/>
  <c r="J15" i="36"/>
  <c r="R15" i="36" s="1"/>
  <c r="I15" i="36"/>
  <c r="Q15" i="36" s="1"/>
  <c r="H15" i="36"/>
  <c r="P15" i="36" s="1"/>
  <c r="G15" i="36"/>
  <c r="O15" i="36" s="1"/>
  <c r="S14" i="36"/>
  <c r="R14" i="36"/>
  <c r="K14" i="36"/>
  <c r="J14" i="36"/>
  <c r="I14" i="36"/>
  <c r="Q14" i="36" s="1"/>
  <c r="H14" i="36"/>
  <c r="P14" i="36" s="1"/>
  <c r="G14" i="36"/>
  <c r="O14" i="36" s="1"/>
  <c r="S13" i="36"/>
  <c r="R13" i="36"/>
  <c r="Q13" i="36"/>
  <c r="P13" i="36"/>
  <c r="K13" i="36"/>
  <c r="J13" i="36"/>
  <c r="I13" i="36"/>
  <c r="H13" i="36"/>
  <c r="G13" i="36"/>
  <c r="O13" i="36" s="1"/>
  <c r="R12" i="36"/>
  <c r="Q12" i="36"/>
  <c r="P12" i="36"/>
  <c r="O12" i="36"/>
  <c r="K12" i="36"/>
  <c r="S12" i="36" s="1"/>
  <c r="J12" i="36"/>
  <c r="I12" i="36"/>
  <c r="H12" i="36"/>
  <c r="G12" i="36"/>
  <c r="P11" i="36"/>
  <c r="O11" i="36"/>
  <c r="K11" i="36"/>
  <c r="S11" i="36" s="1"/>
  <c r="J11" i="36"/>
  <c r="R11" i="36" s="1"/>
  <c r="I11" i="36"/>
  <c r="Q11" i="36" s="1"/>
  <c r="H11" i="36"/>
  <c r="G11" i="36"/>
  <c r="K10" i="36"/>
  <c r="S10" i="36" s="1"/>
  <c r="J10" i="36"/>
  <c r="R10" i="36" s="1"/>
  <c r="I10" i="36"/>
  <c r="Q10" i="36" s="1"/>
  <c r="H10" i="36"/>
  <c r="P10" i="36" s="1"/>
  <c r="G10" i="36"/>
  <c r="O10" i="36" s="1"/>
  <c r="K9" i="36"/>
  <c r="S9" i="36" s="1"/>
  <c r="J9" i="36"/>
  <c r="R9" i="36" s="1"/>
  <c r="I9" i="36"/>
  <c r="Q9" i="36" s="1"/>
  <c r="H9" i="36"/>
  <c r="P9" i="36" s="1"/>
  <c r="G9" i="36"/>
  <c r="O9" i="36" s="1"/>
  <c r="S8" i="36"/>
  <c r="R8" i="36"/>
  <c r="K8" i="36"/>
  <c r="J8" i="36"/>
  <c r="I8" i="36"/>
  <c r="Q8" i="36" s="1"/>
  <c r="H8" i="36"/>
  <c r="P8" i="36" s="1"/>
  <c r="G8" i="36"/>
  <c r="O8" i="36" s="1"/>
  <c r="S7" i="36"/>
  <c r="R7" i="36"/>
  <c r="Q7" i="36"/>
  <c r="P7" i="36"/>
  <c r="K7" i="36"/>
  <c r="J7" i="36"/>
  <c r="I7" i="36"/>
  <c r="H7" i="36"/>
  <c r="G7" i="36"/>
  <c r="O7" i="36" s="1"/>
  <c r="R6" i="36"/>
  <c r="Q6" i="36"/>
  <c r="P6" i="36"/>
  <c r="O6" i="36"/>
  <c r="K6" i="36"/>
  <c r="S6" i="36" s="1"/>
  <c r="J6" i="36"/>
  <c r="I6" i="36"/>
  <c r="H6" i="36"/>
  <c r="H38" i="36" s="1"/>
  <c r="G6" i="36"/>
  <c r="P5" i="36"/>
  <c r="O5" i="36"/>
  <c r="K5" i="36"/>
  <c r="K38" i="36" s="1"/>
  <c r="J5" i="36"/>
  <c r="J38" i="36" s="1"/>
  <c r="I5" i="36"/>
  <c r="I38" i="36" s="1"/>
  <c r="H5" i="36"/>
  <c r="H39" i="36" s="1"/>
  <c r="G5" i="36"/>
  <c r="G38" i="36" s="1"/>
  <c r="S48" i="34"/>
  <c r="R48" i="34"/>
  <c r="Q48" i="34"/>
  <c r="P48" i="34"/>
  <c r="Q12" i="34"/>
  <c r="R12" i="34"/>
  <c r="S12" i="34"/>
  <c r="P17" i="34"/>
  <c r="P19" i="34"/>
  <c r="P29" i="34"/>
  <c r="Q36" i="34"/>
  <c r="S41" i="34"/>
  <c r="O11" i="34"/>
  <c r="M42" i="35"/>
  <c r="M51" i="35" s="1"/>
  <c r="L42" i="35"/>
  <c r="L51" i="35" s="1"/>
  <c r="K42" i="35"/>
  <c r="K51" i="35" s="1"/>
  <c r="J42" i="35"/>
  <c r="J51" i="35" s="1"/>
  <c r="I42" i="35"/>
  <c r="I51" i="35" s="1"/>
  <c r="M36" i="35"/>
  <c r="L36" i="35"/>
  <c r="K36" i="35"/>
  <c r="J36" i="35"/>
  <c r="I36" i="35"/>
  <c r="H36" i="35"/>
  <c r="G36" i="35"/>
  <c r="F36" i="35"/>
  <c r="E36" i="35"/>
  <c r="M35" i="35"/>
  <c r="L35" i="35"/>
  <c r="K35" i="35"/>
  <c r="J35" i="35"/>
  <c r="I35" i="35"/>
  <c r="H35" i="35"/>
  <c r="G35" i="35"/>
  <c r="F35" i="35"/>
  <c r="E35" i="35"/>
  <c r="M34" i="35"/>
  <c r="L34" i="35"/>
  <c r="K34" i="35"/>
  <c r="J34" i="35"/>
  <c r="I34" i="35"/>
  <c r="H34" i="35"/>
  <c r="G34" i="35"/>
  <c r="F34" i="35"/>
  <c r="E34" i="35"/>
  <c r="M33" i="35"/>
  <c r="L33" i="35"/>
  <c r="K33" i="35"/>
  <c r="J33" i="35"/>
  <c r="I33" i="35"/>
  <c r="H33" i="35"/>
  <c r="G33" i="35"/>
  <c r="F33" i="35"/>
  <c r="E33" i="35"/>
  <c r="M32" i="35"/>
  <c r="L32" i="35"/>
  <c r="K32" i="35"/>
  <c r="J32" i="35"/>
  <c r="I32" i="35"/>
  <c r="H32" i="35"/>
  <c r="G32" i="35"/>
  <c r="F32" i="35"/>
  <c r="E32" i="35"/>
  <c r="M31" i="35"/>
  <c r="L31" i="35"/>
  <c r="K31" i="35"/>
  <c r="J31" i="35"/>
  <c r="I31" i="35"/>
  <c r="H31" i="35"/>
  <c r="G31" i="35"/>
  <c r="F31" i="35"/>
  <c r="E31" i="35"/>
  <c r="M30" i="35"/>
  <c r="L30" i="35"/>
  <c r="K30" i="35"/>
  <c r="J30" i="35"/>
  <c r="I30" i="35"/>
  <c r="H30" i="35"/>
  <c r="G30" i="35"/>
  <c r="F30" i="35"/>
  <c r="E30" i="35"/>
  <c r="M29" i="35"/>
  <c r="L29" i="35"/>
  <c r="K29" i="35"/>
  <c r="J29" i="35"/>
  <c r="I29" i="35"/>
  <c r="H29" i="35"/>
  <c r="G29" i="35"/>
  <c r="F29" i="35"/>
  <c r="E29" i="35"/>
  <c r="M28" i="35"/>
  <c r="L28" i="35"/>
  <c r="K28" i="35"/>
  <c r="J28" i="35"/>
  <c r="I28" i="35"/>
  <c r="H28" i="35"/>
  <c r="G28" i="35"/>
  <c r="F28" i="35"/>
  <c r="E28" i="35"/>
  <c r="M27" i="35"/>
  <c r="L27" i="35"/>
  <c r="K27" i="35"/>
  <c r="J27" i="35"/>
  <c r="I27" i="35"/>
  <c r="H27" i="35"/>
  <c r="G27" i="35"/>
  <c r="F27" i="35"/>
  <c r="E27" i="35"/>
  <c r="M26" i="35"/>
  <c r="L26" i="35"/>
  <c r="K26" i="35"/>
  <c r="J26" i="35"/>
  <c r="I26" i="35"/>
  <c r="H26" i="35"/>
  <c r="G26" i="35"/>
  <c r="F26" i="35"/>
  <c r="E26" i="35"/>
  <c r="M25" i="35"/>
  <c r="L25" i="35"/>
  <c r="K25" i="35"/>
  <c r="J25" i="35"/>
  <c r="I25" i="35"/>
  <c r="H25" i="35"/>
  <c r="G25" i="35"/>
  <c r="F25" i="35"/>
  <c r="E25" i="35"/>
  <c r="M24" i="35"/>
  <c r="L24" i="35"/>
  <c r="K24" i="35"/>
  <c r="J24" i="35"/>
  <c r="I24" i="35"/>
  <c r="H24" i="35"/>
  <c r="G24" i="35"/>
  <c r="F24" i="35"/>
  <c r="E24" i="35"/>
  <c r="M23" i="35"/>
  <c r="L23" i="35"/>
  <c r="K23" i="35"/>
  <c r="J23" i="35"/>
  <c r="I23" i="35"/>
  <c r="H23" i="35"/>
  <c r="G23" i="35"/>
  <c r="F23" i="35"/>
  <c r="E23" i="35"/>
  <c r="M22" i="35"/>
  <c r="L22" i="35"/>
  <c r="K22" i="35"/>
  <c r="J22" i="35"/>
  <c r="I22" i="35"/>
  <c r="H22" i="35"/>
  <c r="G22" i="35"/>
  <c r="F22" i="35"/>
  <c r="E22" i="35"/>
  <c r="M21" i="35"/>
  <c r="L21" i="35"/>
  <c r="K21" i="35"/>
  <c r="J21" i="35"/>
  <c r="I21" i="35"/>
  <c r="H21" i="35"/>
  <c r="G21" i="35"/>
  <c r="F21" i="35"/>
  <c r="E21" i="35"/>
  <c r="M20" i="35"/>
  <c r="L20" i="35"/>
  <c r="K20" i="35"/>
  <c r="J20" i="35"/>
  <c r="I20" i="35"/>
  <c r="H20" i="35"/>
  <c r="G20" i="35"/>
  <c r="F20" i="35"/>
  <c r="E20" i="35"/>
  <c r="M19" i="35"/>
  <c r="L19" i="35"/>
  <c r="K19" i="35"/>
  <c r="J19" i="35"/>
  <c r="I19" i="35"/>
  <c r="H19" i="35"/>
  <c r="G19" i="35"/>
  <c r="F19" i="35"/>
  <c r="E19" i="35"/>
  <c r="M18" i="35"/>
  <c r="L18" i="35"/>
  <c r="K18" i="35"/>
  <c r="J18" i="35"/>
  <c r="I18" i="35"/>
  <c r="H18" i="35"/>
  <c r="G18" i="35"/>
  <c r="F18" i="35"/>
  <c r="E18" i="35"/>
  <c r="M17" i="35"/>
  <c r="L17" i="35"/>
  <c r="K17" i="35"/>
  <c r="J17" i="35"/>
  <c r="I17" i="35"/>
  <c r="H17" i="35"/>
  <c r="G17" i="35"/>
  <c r="F17" i="35"/>
  <c r="E17" i="35"/>
  <c r="M16" i="35"/>
  <c r="L16" i="35"/>
  <c r="K16" i="35"/>
  <c r="J16" i="35"/>
  <c r="I16" i="35"/>
  <c r="H16" i="35"/>
  <c r="G16" i="35"/>
  <c r="F16" i="35"/>
  <c r="E16" i="35"/>
  <c r="M15" i="35"/>
  <c r="L15" i="35"/>
  <c r="K15" i="35"/>
  <c r="J15" i="35"/>
  <c r="I15" i="35"/>
  <c r="H15" i="35"/>
  <c r="G15" i="35"/>
  <c r="F15" i="35"/>
  <c r="E15" i="35"/>
  <c r="M14" i="35"/>
  <c r="L14" i="35"/>
  <c r="K14" i="35"/>
  <c r="J14" i="35"/>
  <c r="I14" i="35"/>
  <c r="H14" i="35"/>
  <c r="G14" i="35"/>
  <c r="F14" i="35"/>
  <c r="E14" i="35"/>
  <c r="M13" i="35"/>
  <c r="L13" i="35"/>
  <c r="K13" i="35"/>
  <c r="J13" i="35"/>
  <c r="I13" i="35"/>
  <c r="H13" i="35"/>
  <c r="G13" i="35"/>
  <c r="F13" i="35"/>
  <c r="E13" i="35"/>
  <c r="M12" i="35"/>
  <c r="L12" i="35"/>
  <c r="K12" i="35"/>
  <c r="J12" i="35"/>
  <c r="I12" i="35"/>
  <c r="H12" i="35"/>
  <c r="G12" i="35"/>
  <c r="F12" i="35"/>
  <c r="E12" i="35"/>
  <c r="M11" i="35"/>
  <c r="L11" i="35"/>
  <c r="K11" i="35"/>
  <c r="J11" i="35"/>
  <c r="I11" i="35"/>
  <c r="H11" i="35"/>
  <c r="G11" i="35"/>
  <c r="F11" i="35"/>
  <c r="E11" i="35"/>
  <c r="M10" i="35"/>
  <c r="L10" i="35"/>
  <c r="K10" i="35"/>
  <c r="J10" i="35"/>
  <c r="I10" i="35"/>
  <c r="H10" i="35"/>
  <c r="G10" i="35"/>
  <c r="F10" i="35"/>
  <c r="E10" i="35"/>
  <c r="M9" i="35"/>
  <c r="L9" i="35"/>
  <c r="K9" i="35"/>
  <c r="J9" i="35"/>
  <c r="I9" i="35"/>
  <c r="H9" i="35"/>
  <c r="G9" i="35"/>
  <c r="F9" i="35"/>
  <c r="E9" i="35"/>
  <c r="M8" i="35"/>
  <c r="L8" i="35"/>
  <c r="K8" i="35"/>
  <c r="J8" i="35"/>
  <c r="I8" i="35"/>
  <c r="H8" i="35"/>
  <c r="G8" i="35"/>
  <c r="F8" i="35"/>
  <c r="E8" i="35"/>
  <c r="M7" i="35"/>
  <c r="L7" i="35"/>
  <c r="K7" i="35"/>
  <c r="J7" i="35"/>
  <c r="I7" i="35"/>
  <c r="H7" i="35"/>
  <c r="G7" i="35"/>
  <c r="F7" i="35"/>
  <c r="E7" i="35"/>
  <c r="M6" i="35"/>
  <c r="L6" i="35"/>
  <c r="K6" i="35"/>
  <c r="J6" i="35"/>
  <c r="I6" i="35"/>
  <c r="H6" i="35"/>
  <c r="H39" i="35" s="1"/>
  <c r="G6" i="35"/>
  <c r="F6" i="35"/>
  <c r="E6" i="35"/>
  <c r="M5" i="35"/>
  <c r="M38" i="35" s="1"/>
  <c r="L5" i="35"/>
  <c r="L38" i="35" s="1"/>
  <c r="K5" i="35"/>
  <c r="K38" i="35" s="1"/>
  <c r="J5" i="35"/>
  <c r="J38" i="35" s="1"/>
  <c r="I5" i="35"/>
  <c r="I38" i="35" s="1"/>
  <c r="H5" i="35"/>
  <c r="H38" i="35" s="1"/>
  <c r="G5" i="35"/>
  <c r="G39" i="35" s="1"/>
  <c r="F5" i="35"/>
  <c r="F39" i="35" s="1"/>
  <c r="E5" i="35"/>
  <c r="E39" i="35" s="1"/>
  <c r="G42" i="34"/>
  <c r="O42" i="34" s="1"/>
  <c r="H42" i="34"/>
  <c r="P42" i="34" s="1"/>
  <c r="I42" i="34"/>
  <c r="Q42" i="34" s="1"/>
  <c r="J42" i="34"/>
  <c r="R42" i="34" s="1"/>
  <c r="K42" i="34"/>
  <c r="S42" i="34" s="1"/>
  <c r="G41" i="34"/>
  <c r="O41" i="34" s="1"/>
  <c r="H41" i="34"/>
  <c r="P41" i="34" s="1"/>
  <c r="I41" i="34"/>
  <c r="Q41" i="34" s="1"/>
  <c r="J41" i="34"/>
  <c r="R41" i="34" s="1"/>
  <c r="K41" i="34"/>
  <c r="G40" i="34"/>
  <c r="O40" i="34" s="1"/>
  <c r="H40" i="34"/>
  <c r="P40" i="34" s="1"/>
  <c r="I40" i="34"/>
  <c r="Q40" i="34" s="1"/>
  <c r="J40" i="34"/>
  <c r="R40" i="34" s="1"/>
  <c r="K40" i="34"/>
  <c r="S40" i="34" s="1"/>
  <c r="G39" i="34"/>
  <c r="O39" i="34" s="1"/>
  <c r="H39" i="34"/>
  <c r="P39" i="34" s="1"/>
  <c r="I39" i="34"/>
  <c r="Q39" i="34" s="1"/>
  <c r="J39" i="34"/>
  <c r="R39" i="34" s="1"/>
  <c r="K39" i="34"/>
  <c r="S39" i="34" s="1"/>
  <c r="G38" i="34"/>
  <c r="O38" i="34" s="1"/>
  <c r="H38" i="34"/>
  <c r="P38" i="34" s="1"/>
  <c r="I38" i="34"/>
  <c r="Q38" i="34" s="1"/>
  <c r="J38" i="34"/>
  <c r="R38" i="34" s="1"/>
  <c r="K38" i="34"/>
  <c r="S38" i="34" s="1"/>
  <c r="G37" i="34"/>
  <c r="O37" i="34" s="1"/>
  <c r="H37" i="34"/>
  <c r="P37" i="34" s="1"/>
  <c r="I37" i="34"/>
  <c r="Q37" i="34" s="1"/>
  <c r="J37" i="34"/>
  <c r="R37" i="34" s="1"/>
  <c r="K37" i="34"/>
  <c r="S37" i="34" s="1"/>
  <c r="G36" i="34"/>
  <c r="O36" i="34" s="1"/>
  <c r="H36" i="34"/>
  <c r="P36" i="34" s="1"/>
  <c r="I36" i="34"/>
  <c r="J36" i="34"/>
  <c r="R36" i="34" s="1"/>
  <c r="K36" i="34"/>
  <c r="S36" i="34" s="1"/>
  <c r="G35" i="34"/>
  <c r="O35" i="34" s="1"/>
  <c r="H35" i="34"/>
  <c r="P35" i="34" s="1"/>
  <c r="I35" i="34"/>
  <c r="Q35" i="34" s="1"/>
  <c r="J35" i="34"/>
  <c r="R35" i="34" s="1"/>
  <c r="K35" i="34"/>
  <c r="S35" i="34" s="1"/>
  <c r="G34" i="34"/>
  <c r="O34" i="34" s="1"/>
  <c r="H34" i="34"/>
  <c r="P34" i="34" s="1"/>
  <c r="I34" i="34"/>
  <c r="Q34" i="34" s="1"/>
  <c r="J34" i="34"/>
  <c r="R34" i="34" s="1"/>
  <c r="K34" i="34"/>
  <c r="S34" i="34" s="1"/>
  <c r="G33" i="34"/>
  <c r="O33" i="34" s="1"/>
  <c r="H33" i="34"/>
  <c r="P33" i="34" s="1"/>
  <c r="I33" i="34"/>
  <c r="Q33" i="34" s="1"/>
  <c r="J33" i="34"/>
  <c r="R33" i="34" s="1"/>
  <c r="K33" i="34"/>
  <c r="S33" i="34" s="1"/>
  <c r="G32" i="34"/>
  <c r="O32" i="34" s="1"/>
  <c r="H32" i="34"/>
  <c r="P32" i="34" s="1"/>
  <c r="I32" i="34"/>
  <c r="Q32" i="34" s="1"/>
  <c r="J32" i="34"/>
  <c r="R32" i="34" s="1"/>
  <c r="K32" i="34"/>
  <c r="S32" i="34" s="1"/>
  <c r="G31" i="34"/>
  <c r="O31" i="34" s="1"/>
  <c r="H31" i="34"/>
  <c r="P31" i="34" s="1"/>
  <c r="I31" i="34"/>
  <c r="Q31" i="34" s="1"/>
  <c r="J31" i="34"/>
  <c r="R31" i="34" s="1"/>
  <c r="K31" i="34"/>
  <c r="S31" i="34" s="1"/>
  <c r="G30" i="34"/>
  <c r="O30" i="34" s="1"/>
  <c r="H30" i="34"/>
  <c r="P30" i="34" s="1"/>
  <c r="I30" i="34"/>
  <c r="Q30" i="34" s="1"/>
  <c r="J30" i="34"/>
  <c r="R30" i="34" s="1"/>
  <c r="K30" i="34"/>
  <c r="S30" i="34" s="1"/>
  <c r="G29" i="34"/>
  <c r="O29" i="34" s="1"/>
  <c r="H29" i="34"/>
  <c r="I29" i="34"/>
  <c r="Q29" i="34" s="1"/>
  <c r="J29" i="34"/>
  <c r="R29" i="34" s="1"/>
  <c r="K29" i="34"/>
  <c r="S29" i="34" s="1"/>
  <c r="G28" i="34"/>
  <c r="O28" i="34" s="1"/>
  <c r="H28" i="34"/>
  <c r="P28" i="34" s="1"/>
  <c r="I28" i="34"/>
  <c r="Q28" i="34" s="1"/>
  <c r="J28" i="34"/>
  <c r="R28" i="34" s="1"/>
  <c r="K28" i="34"/>
  <c r="S28" i="34" s="1"/>
  <c r="G27" i="34"/>
  <c r="O27" i="34" s="1"/>
  <c r="H27" i="34"/>
  <c r="P27" i="34" s="1"/>
  <c r="I27" i="34"/>
  <c r="Q27" i="34" s="1"/>
  <c r="J27" i="34"/>
  <c r="R27" i="34" s="1"/>
  <c r="K27" i="34"/>
  <c r="S27" i="34" s="1"/>
  <c r="G26" i="34"/>
  <c r="O26" i="34" s="1"/>
  <c r="H26" i="34"/>
  <c r="P26" i="34" s="1"/>
  <c r="I26" i="34"/>
  <c r="Q26" i="34" s="1"/>
  <c r="J26" i="34"/>
  <c r="R26" i="34" s="1"/>
  <c r="K26" i="34"/>
  <c r="S26" i="34" s="1"/>
  <c r="G25" i="34"/>
  <c r="O25" i="34" s="1"/>
  <c r="H25" i="34"/>
  <c r="P25" i="34" s="1"/>
  <c r="I25" i="34"/>
  <c r="Q25" i="34" s="1"/>
  <c r="J25" i="34"/>
  <c r="R25" i="34" s="1"/>
  <c r="K25" i="34"/>
  <c r="S25" i="34" s="1"/>
  <c r="G24" i="34"/>
  <c r="O24" i="34" s="1"/>
  <c r="H24" i="34"/>
  <c r="P24" i="34" s="1"/>
  <c r="I24" i="34"/>
  <c r="Q24" i="34" s="1"/>
  <c r="J24" i="34"/>
  <c r="R24" i="34" s="1"/>
  <c r="K24" i="34"/>
  <c r="S24" i="34" s="1"/>
  <c r="G23" i="34"/>
  <c r="O23" i="34" s="1"/>
  <c r="H23" i="34"/>
  <c r="P23" i="34" s="1"/>
  <c r="I23" i="34"/>
  <c r="Q23" i="34" s="1"/>
  <c r="J23" i="34"/>
  <c r="R23" i="34" s="1"/>
  <c r="K23" i="34"/>
  <c r="S23" i="34" s="1"/>
  <c r="G22" i="34"/>
  <c r="O22" i="34" s="1"/>
  <c r="H22" i="34"/>
  <c r="P22" i="34" s="1"/>
  <c r="I22" i="34"/>
  <c r="Q22" i="34" s="1"/>
  <c r="J22" i="34"/>
  <c r="R22" i="34" s="1"/>
  <c r="K22" i="34"/>
  <c r="S22" i="34" s="1"/>
  <c r="G21" i="34"/>
  <c r="O21" i="34" s="1"/>
  <c r="H21" i="34"/>
  <c r="P21" i="34" s="1"/>
  <c r="I21" i="34"/>
  <c r="Q21" i="34" s="1"/>
  <c r="J21" i="34"/>
  <c r="R21" i="34" s="1"/>
  <c r="K21" i="34"/>
  <c r="S21" i="34" s="1"/>
  <c r="G20" i="34"/>
  <c r="O20" i="34" s="1"/>
  <c r="H20" i="34"/>
  <c r="P20" i="34" s="1"/>
  <c r="I20" i="34"/>
  <c r="Q20" i="34" s="1"/>
  <c r="J20" i="34"/>
  <c r="R20" i="34" s="1"/>
  <c r="K20" i="34"/>
  <c r="S20" i="34" s="1"/>
  <c r="G19" i="34"/>
  <c r="O19" i="34" s="1"/>
  <c r="H19" i="34"/>
  <c r="I19" i="34"/>
  <c r="Q19" i="34" s="1"/>
  <c r="J19" i="34"/>
  <c r="R19" i="34" s="1"/>
  <c r="K19" i="34"/>
  <c r="S19" i="34" s="1"/>
  <c r="G18" i="34"/>
  <c r="O18" i="34" s="1"/>
  <c r="H18" i="34"/>
  <c r="P18" i="34" s="1"/>
  <c r="I18" i="34"/>
  <c r="Q18" i="34" s="1"/>
  <c r="J18" i="34"/>
  <c r="R18" i="34" s="1"/>
  <c r="K18" i="34"/>
  <c r="S18" i="34" s="1"/>
  <c r="G17" i="34"/>
  <c r="O17" i="34" s="1"/>
  <c r="H17" i="34"/>
  <c r="I17" i="34"/>
  <c r="Q17" i="34" s="1"/>
  <c r="J17" i="34"/>
  <c r="R17" i="34" s="1"/>
  <c r="K17" i="34"/>
  <c r="S17" i="34" s="1"/>
  <c r="G16" i="34"/>
  <c r="O16" i="34" s="1"/>
  <c r="H16" i="34"/>
  <c r="P16" i="34" s="1"/>
  <c r="I16" i="34"/>
  <c r="Q16" i="34" s="1"/>
  <c r="J16" i="34"/>
  <c r="R16" i="34" s="1"/>
  <c r="K16" i="34"/>
  <c r="S16" i="34" s="1"/>
  <c r="G15" i="34"/>
  <c r="O15" i="34" s="1"/>
  <c r="H15" i="34"/>
  <c r="P15" i="34" s="1"/>
  <c r="I15" i="34"/>
  <c r="Q15" i="34" s="1"/>
  <c r="J15" i="34"/>
  <c r="R15" i="34" s="1"/>
  <c r="K15" i="34"/>
  <c r="S15" i="34" s="1"/>
  <c r="G14" i="34"/>
  <c r="O14" i="34" s="1"/>
  <c r="H14" i="34"/>
  <c r="P14" i="34" s="1"/>
  <c r="I14" i="34"/>
  <c r="Q14" i="34" s="1"/>
  <c r="J14" i="34"/>
  <c r="R14" i="34" s="1"/>
  <c r="K14" i="34"/>
  <c r="S14" i="34" s="1"/>
  <c r="G13" i="34"/>
  <c r="O13" i="34" s="1"/>
  <c r="H13" i="34"/>
  <c r="P13" i="34" s="1"/>
  <c r="I13" i="34"/>
  <c r="Q13" i="34" s="1"/>
  <c r="J13" i="34"/>
  <c r="R13" i="34" s="1"/>
  <c r="K13" i="34"/>
  <c r="S13" i="34" s="1"/>
  <c r="G12" i="34"/>
  <c r="O12" i="34" s="1"/>
  <c r="H12" i="34"/>
  <c r="P12" i="34" s="1"/>
  <c r="I12" i="34"/>
  <c r="J12" i="34"/>
  <c r="K12" i="34"/>
  <c r="G11" i="34"/>
  <c r="H11" i="34"/>
  <c r="P11" i="34" s="1"/>
  <c r="I11" i="34"/>
  <c r="Q11" i="34" s="1"/>
  <c r="J11" i="34"/>
  <c r="R11" i="34" s="1"/>
  <c r="K11" i="34"/>
  <c r="S11" i="34" s="1"/>
  <c r="Q44" i="34" l="1"/>
  <c r="Q45" i="34"/>
  <c r="S45" i="34"/>
  <c r="S44" i="34"/>
  <c r="R44" i="34"/>
  <c r="R45" i="34"/>
  <c r="O44" i="34"/>
  <c r="P45" i="34"/>
  <c r="P44" i="34"/>
  <c r="O45" i="34"/>
  <c r="P39" i="36"/>
  <c r="P38" i="36"/>
  <c r="G50" i="36"/>
  <c r="H48" i="36"/>
  <c r="G48" i="36"/>
  <c r="J48" i="36"/>
  <c r="I48" i="36"/>
  <c r="K48" i="36"/>
  <c r="I47" i="36"/>
  <c r="H47" i="36"/>
  <c r="O38" i="36"/>
  <c r="Q5" i="36"/>
  <c r="G39" i="36"/>
  <c r="G47" i="36" s="1"/>
  <c r="R5" i="36"/>
  <c r="I39" i="36"/>
  <c r="J49" i="36" s="1"/>
  <c r="S5" i="36"/>
  <c r="J39" i="36"/>
  <c r="K50" i="36" s="1"/>
  <c r="K39" i="36"/>
  <c r="K51" i="36" s="1"/>
  <c r="O39" i="36"/>
  <c r="E38" i="35"/>
  <c r="I39" i="35"/>
  <c r="G38" i="35"/>
  <c r="J39" i="35"/>
  <c r="F38" i="35"/>
  <c r="K39" i="35"/>
  <c r="L39" i="35"/>
  <c r="M39" i="35"/>
  <c r="M34" i="24"/>
  <c r="L34" i="24"/>
  <c r="K34" i="24"/>
  <c r="J34" i="24"/>
  <c r="I34" i="24"/>
  <c r="H34" i="24"/>
  <c r="G34" i="24"/>
  <c r="F34" i="24"/>
  <c r="E34" i="24"/>
  <c r="D34" i="24"/>
  <c r="C34" i="24"/>
  <c r="B34" i="24"/>
  <c r="C34" i="25"/>
  <c r="D34" i="25"/>
  <c r="E34" i="25"/>
  <c r="F34" i="25"/>
  <c r="G34" i="25"/>
  <c r="H34" i="25"/>
  <c r="I34" i="25"/>
  <c r="J34" i="25"/>
  <c r="K34" i="25"/>
  <c r="L34" i="25"/>
  <c r="M34" i="25"/>
  <c r="B34" i="25"/>
  <c r="Q53" i="34" l="1"/>
  <c r="R53" i="34"/>
  <c r="S53" i="34"/>
  <c r="P53" i="34"/>
  <c r="O53" i="34"/>
  <c r="O56" i="34"/>
  <c r="S56" i="34"/>
  <c r="P56" i="34"/>
  <c r="Q56" i="34"/>
  <c r="R56" i="34"/>
  <c r="R54" i="34"/>
  <c r="S54" i="34"/>
  <c r="P54" i="34"/>
  <c r="O54" i="34"/>
  <c r="Q54" i="34"/>
  <c r="O57" i="34"/>
  <c r="Q57" i="34"/>
  <c r="R57" i="34"/>
  <c r="S57" i="34"/>
  <c r="P57" i="34"/>
  <c r="Q55" i="34"/>
  <c r="R55" i="34"/>
  <c r="S55" i="34"/>
  <c r="O55" i="34"/>
  <c r="P55" i="34"/>
  <c r="I50" i="36"/>
  <c r="S48" i="36"/>
  <c r="R48" i="36"/>
  <c r="Q48" i="36"/>
  <c r="P48" i="36"/>
  <c r="O48" i="36"/>
  <c r="H50" i="36"/>
  <c r="J50" i="36"/>
  <c r="Q39" i="36"/>
  <c r="Q38" i="36"/>
  <c r="G51" i="36"/>
  <c r="G49" i="36"/>
  <c r="I49" i="36"/>
  <c r="I51" i="36"/>
  <c r="H49" i="36"/>
  <c r="S38" i="36"/>
  <c r="S39" i="36"/>
  <c r="R38" i="36"/>
  <c r="R39" i="36"/>
  <c r="S47" i="36"/>
  <c r="R47" i="36"/>
  <c r="Q47" i="36"/>
  <c r="P47" i="36"/>
  <c r="O47" i="36"/>
  <c r="H51" i="36"/>
  <c r="J47" i="36"/>
  <c r="K49" i="36"/>
  <c r="K47" i="36"/>
  <c r="J51" i="36"/>
  <c r="K49" i="35"/>
  <c r="J49" i="35"/>
  <c r="I49" i="35"/>
  <c r="L49" i="35"/>
  <c r="M49" i="35"/>
  <c r="M50" i="35"/>
  <c r="L50" i="35"/>
  <c r="K50" i="35"/>
  <c r="J50" i="35"/>
  <c r="I50" i="35"/>
  <c r="L48" i="35"/>
  <c r="M48" i="35"/>
  <c r="K48" i="35"/>
  <c r="J48" i="35"/>
  <c r="I48" i="35"/>
  <c r="I47" i="35"/>
  <c r="M47" i="35"/>
  <c r="K47" i="35"/>
  <c r="L47" i="35"/>
  <c r="J47" i="35"/>
  <c r="O49" i="36" l="1"/>
  <c r="P49" i="36"/>
  <c r="R49" i="36"/>
  <c r="Q49" i="36"/>
  <c r="S49" i="36"/>
  <c r="O50" i="36"/>
  <c r="R50" i="36"/>
  <c r="S50" i="36"/>
  <c r="Q50" i="36"/>
  <c r="P50" i="36"/>
  <c r="Q51" i="36"/>
  <c r="P51" i="36"/>
  <c r="O51" i="36"/>
  <c r="S51" i="36"/>
  <c r="R51" i="36"/>
</calcChain>
</file>

<file path=xl/sharedStrings.xml><?xml version="1.0" encoding="utf-8"?>
<sst xmlns="http://schemas.openxmlformats.org/spreadsheetml/2006/main" count="648" uniqueCount="165">
  <si>
    <r>
      <rPr>
        <b/>
        <sz val="8.5"/>
        <color rgb="FF010101"/>
        <rFont val="Arial"/>
        <family val="2"/>
      </rPr>
      <t>NOV</t>
    </r>
  </si>
  <si>
    <r>
      <rPr>
        <sz val="8.5"/>
        <color rgb="FF010101"/>
        <rFont val="Arial"/>
        <family val="2"/>
      </rPr>
      <t>HIGHEST DAILY RAINFALL FOR 1992 WAS        100.2   mm ON 7-Sep</t>
    </r>
  </si>
  <si>
    <r>
      <rPr>
        <b/>
        <sz val="8.5"/>
        <color rgb="FF010101"/>
        <rFont val="Arial"/>
        <family val="2"/>
      </rPr>
      <t>JAN</t>
    </r>
  </si>
  <si>
    <r>
      <rPr>
        <b/>
        <sz val="8.5"/>
        <color rgb="FF010101"/>
        <rFont val="Arial"/>
        <family val="2"/>
      </rPr>
      <t>MAR</t>
    </r>
  </si>
  <si>
    <r>
      <rPr>
        <b/>
        <sz val="8.5"/>
        <color rgb="FF010101"/>
        <rFont val="Arial"/>
        <family val="2"/>
      </rPr>
      <t>APR</t>
    </r>
  </si>
  <si>
    <r>
      <rPr>
        <b/>
        <sz val="8.5"/>
        <color rgb="FF010101"/>
        <rFont val="Arial"/>
        <family val="2"/>
      </rPr>
      <t>MAY</t>
    </r>
  </si>
  <si>
    <r>
      <rPr>
        <b/>
        <sz val="8.5"/>
        <color rgb="FF010101"/>
        <rFont val="Arial"/>
        <family val="2"/>
      </rPr>
      <t>JUN</t>
    </r>
  </si>
  <si>
    <r>
      <rPr>
        <b/>
        <sz val="8.5"/>
        <color rgb="FF010101"/>
        <rFont val="Arial"/>
        <family val="2"/>
      </rPr>
      <t>JUL</t>
    </r>
  </si>
  <si>
    <r>
      <rPr>
        <sz val="8.5"/>
        <color rgb="FF010101"/>
        <rFont val="Arial"/>
        <family val="2"/>
      </rPr>
      <t xml:space="preserve">HIGHEST DAILY RAINFALL FOR 1994 WAS        </t>
    </r>
    <r>
      <rPr>
        <b/>
        <sz val="8.5"/>
        <color rgb="FF010101"/>
        <rFont val="Arial"/>
        <family val="2"/>
      </rPr>
      <t>124.4   mm ON 12-Aug</t>
    </r>
  </si>
  <si>
    <r>
      <rPr>
        <b/>
        <sz val="8.5"/>
        <color rgb="FF010101"/>
        <rFont val="Arial"/>
        <family val="2"/>
      </rPr>
      <t>ANNUAL RAINFALL=               1221</t>
    </r>
    <r>
      <rPr>
        <b/>
        <sz val="8.5"/>
        <color rgb="FF464646"/>
        <rFont val="Arial"/>
        <family val="2"/>
      </rPr>
      <t>.</t>
    </r>
    <r>
      <rPr>
        <b/>
        <sz val="8.5"/>
        <color rgb="FF010101"/>
        <rFont val="Arial"/>
        <family val="2"/>
      </rPr>
      <t xml:space="preserve">8   </t>
    </r>
    <r>
      <rPr>
        <sz val="8.5"/>
        <color rgb="FF010101"/>
        <rFont val="Arial"/>
        <family val="2"/>
      </rPr>
      <t xml:space="preserve">ANNUAL RAINY DAYS </t>
    </r>
    <r>
      <rPr>
        <sz val="9"/>
        <color rgb="FF010101"/>
        <rFont val="Arial"/>
        <family val="2"/>
      </rPr>
      <t xml:space="preserve">=  </t>
    </r>
    <r>
      <rPr>
        <b/>
        <sz val="8.5"/>
        <color rgb="FF010101"/>
        <rFont val="Arial"/>
        <family val="2"/>
      </rPr>
      <t xml:space="preserve">43          ANNUAL No.OF OBSERVATIONS     </t>
    </r>
    <r>
      <rPr>
        <sz val="8.5"/>
        <color rgb="FF010101"/>
        <rFont val="Arial"/>
        <family val="2"/>
      </rPr>
      <t>365</t>
    </r>
  </si>
  <si>
    <r>
      <rPr>
        <sz val="8.5"/>
        <color rgb="FF010101"/>
        <rFont val="Arial"/>
        <family val="2"/>
      </rPr>
      <t>HIGHEST DAILY RAINFALL FOR 1995 WAS        123.0   mm ON 14-Jul</t>
    </r>
  </si>
  <si>
    <r>
      <rPr>
        <sz val="8.5"/>
        <color rgb="FF010101"/>
        <rFont val="Arial"/>
        <family val="2"/>
      </rPr>
      <t>ANNUAL RAINFALL=               1230</t>
    </r>
    <r>
      <rPr>
        <sz val="8.5"/>
        <color rgb="FF464646"/>
        <rFont val="Arial"/>
        <family val="2"/>
      </rPr>
      <t>.</t>
    </r>
    <r>
      <rPr>
        <sz val="8.5"/>
        <color rgb="FF010101"/>
        <rFont val="Arial"/>
        <family val="2"/>
      </rPr>
      <t>7   ANNUAL RAINY DAYS =   45          ANNUAL No.OF OBSERVATIONS     365</t>
    </r>
  </si>
  <si>
    <r>
      <rPr>
        <sz val="8.5"/>
        <color rgb="FF010101"/>
        <rFont val="Arial"/>
        <family val="2"/>
      </rPr>
      <t>HIGHEST DAILY RAINFALL FOR 1996 WAS         89</t>
    </r>
    <r>
      <rPr>
        <sz val="8.5"/>
        <color rgb="FF595959"/>
        <rFont val="Arial"/>
        <family val="2"/>
      </rPr>
      <t>.</t>
    </r>
    <r>
      <rPr>
        <sz val="8.5"/>
        <color rgb="FF010101"/>
        <rFont val="Arial"/>
        <family val="2"/>
      </rPr>
      <t>0    mm ON 22-Aug</t>
    </r>
  </si>
  <si>
    <r>
      <rPr>
        <sz val="8.5"/>
        <color rgb="FF010101"/>
        <rFont val="Arial"/>
        <family val="2"/>
      </rPr>
      <t>ANNUAL RAINFALL=               1231</t>
    </r>
    <r>
      <rPr>
        <sz val="8.5"/>
        <color rgb="FF464646"/>
        <rFont val="Arial"/>
        <family val="2"/>
      </rPr>
      <t>.</t>
    </r>
    <r>
      <rPr>
        <sz val="8.5"/>
        <color rgb="FF010101"/>
        <rFont val="Arial"/>
        <family val="2"/>
      </rPr>
      <t>5   ANNUAL RAINY DAYS =   38          ANNUAL No.OF OBSERVATIONS     366</t>
    </r>
  </si>
  <si>
    <r>
      <rPr>
        <sz val="8.5"/>
        <color rgb="FF010101"/>
        <rFont val="Arial"/>
        <family val="2"/>
      </rPr>
      <t xml:space="preserve">HIGHEST DAILY RAINFALL FOR 1997 WAS         </t>
    </r>
    <r>
      <rPr>
        <b/>
        <sz val="8.5"/>
        <color rgb="FF010101"/>
        <rFont val="Arial"/>
        <family val="2"/>
      </rPr>
      <t>175</t>
    </r>
    <r>
      <rPr>
        <b/>
        <sz val="8.5"/>
        <color rgb="FF5B5B5B"/>
        <rFont val="Arial"/>
        <family val="2"/>
      </rPr>
      <t>.</t>
    </r>
    <r>
      <rPr>
        <b/>
        <sz val="8.5"/>
        <color rgb="FF010101"/>
        <rFont val="Arial"/>
        <family val="2"/>
      </rPr>
      <t>0   mm ON 25-Aug</t>
    </r>
  </si>
  <si>
    <r>
      <rPr>
        <sz val="8.5"/>
        <color rgb="FF010101"/>
        <rFont val="Arial"/>
        <family val="2"/>
      </rPr>
      <t xml:space="preserve">ANNUAL RAINFALL </t>
    </r>
    <r>
      <rPr>
        <sz val="9"/>
        <color rgb="FF010101"/>
        <rFont val="Arial"/>
        <family val="2"/>
      </rPr>
      <t xml:space="preserve">=               </t>
    </r>
    <r>
      <rPr>
        <b/>
        <sz val="8.5"/>
        <color rgb="FF010101"/>
        <rFont val="Arial"/>
        <family val="2"/>
      </rPr>
      <t>919</t>
    </r>
    <r>
      <rPr>
        <b/>
        <sz val="8.5"/>
        <color rgb="FF5B5B5B"/>
        <rFont val="Arial"/>
        <family val="2"/>
      </rPr>
      <t>.</t>
    </r>
    <r>
      <rPr>
        <b/>
        <sz val="8.5"/>
        <color rgb="FF010101"/>
        <rFont val="Arial"/>
        <family val="2"/>
      </rPr>
      <t xml:space="preserve">5     </t>
    </r>
    <r>
      <rPr>
        <sz val="8.5"/>
        <color rgb="FF010101"/>
        <rFont val="Arial"/>
        <family val="2"/>
      </rPr>
      <t xml:space="preserve">ANNUAL RAINY DAYS </t>
    </r>
    <r>
      <rPr>
        <sz val="9"/>
        <color rgb="FF010101"/>
        <rFont val="Arial"/>
        <family val="2"/>
      </rPr>
      <t xml:space="preserve">=   </t>
    </r>
    <r>
      <rPr>
        <sz val="8.5"/>
        <color rgb="FF010101"/>
        <rFont val="Arial"/>
        <family val="2"/>
      </rPr>
      <t>30          ANNUAL NO OF OBSERVATIONS     365</t>
    </r>
  </si>
  <si>
    <r>
      <rPr>
        <sz val="9.5"/>
        <color rgb="FF010101"/>
        <rFont val="Times New Roman"/>
        <family val="1"/>
      </rPr>
      <t xml:space="preserve">HIGHEST  DAILY RAINFALL FOR 1998 WAS          </t>
    </r>
    <r>
      <rPr>
        <b/>
        <sz val="8.5"/>
        <color rgb="FF010101"/>
        <rFont val="Arial"/>
        <family val="2"/>
      </rPr>
      <t xml:space="preserve">91.0    </t>
    </r>
    <r>
      <rPr>
        <sz val="9.5"/>
        <color rgb="FF010101"/>
        <rFont val="Times New Roman"/>
        <family val="1"/>
      </rPr>
      <t>mm ON 13-Jul</t>
    </r>
  </si>
  <si>
    <r>
      <rPr>
        <sz val="9.5"/>
        <color rgb="FF010101"/>
        <rFont val="Times New Roman"/>
        <family val="1"/>
      </rPr>
      <t xml:space="preserve">ANNUAL RAINFALL </t>
    </r>
    <r>
      <rPr>
        <sz val="9"/>
        <color rgb="FF010101"/>
        <rFont val="Arial"/>
        <family val="2"/>
      </rPr>
      <t xml:space="preserve">=               </t>
    </r>
    <r>
      <rPr>
        <b/>
        <sz val="8.5"/>
        <color rgb="FF010101"/>
        <rFont val="Arial"/>
        <family val="2"/>
      </rPr>
      <t>819</t>
    </r>
    <r>
      <rPr>
        <b/>
        <sz val="8.5"/>
        <color rgb="FF444444"/>
        <rFont val="Arial"/>
        <family val="2"/>
      </rPr>
      <t>.</t>
    </r>
    <r>
      <rPr>
        <b/>
        <sz val="8.5"/>
        <color rgb="FF010101"/>
        <rFont val="Arial"/>
        <family val="2"/>
      </rPr>
      <t xml:space="preserve">0     </t>
    </r>
    <r>
      <rPr>
        <sz val="9.5"/>
        <color rgb="FF010101"/>
        <rFont val="Times New Roman"/>
        <family val="1"/>
      </rPr>
      <t xml:space="preserve">ANNUAL RAINY DAYS </t>
    </r>
    <r>
      <rPr>
        <sz val="9"/>
        <color rgb="FF010101"/>
        <rFont val="Arial"/>
        <family val="2"/>
      </rPr>
      <t xml:space="preserve">=   </t>
    </r>
    <r>
      <rPr>
        <b/>
        <sz val="8.5"/>
        <color rgb="FF010101"/>
        <rFont val="Arial"/>
        <family val="2"/>
      </rPr>
      <t xml:space="preserve">29          </t>
    </r>
    <r>
      <rPr>
        <sz val="9.5"/>
        <color rgb="FF010101"/>
        <rFont val="Times New Roman"/>
        <family val="1"/>
      </rPr>
      <t>ANNUAL  NO OF OBSERVATIONS     365</t>
    </r>
  </si>
  <si>
    <r>
      <rPr>
        <sz val="9.5"/>
        <color rgb="FF010101"/>
        <rFont val="Times New Roman"/>
        <family val="1"/>
      </rPr>
      <t>HIGHEST  DAILY RAINFALL FOR 1999 WAS          82</t>
    </r>
    <r>
      <rPr>
        <sz val="9.5"/>
        <color rgb="FF444444"/>
        <rFont val="Times New Roman"/>
        <family val="1"/>
      </rPr>
      <t>.</t>
    </r>
    <r>
      <rPr>
        <sz val="9.5"/>
        <color rgb="FF010101"/>
        <rFont val="Times New Roman"/>
        <family val="1"/>
      </rPr>
      <t>0    mm ON 22-Jul</t>
    </r>
  </si>
  <si>
    <r>
      <rPr>
        <sz val="9.5"/>
        <color rgb="FF010101"/>
        <rFont val="Times New Roman"/>
        <family val="1"/>
      </rPr>
      <t xml:space="preserve">ANNUAL RAINFALL </t>
    </r>
    <r>
      <rPr>
        <sz val="9"/>
        <color rgb="FF010101"/>
        <rFont val="Arial"/>
        <family val="2"/>
      </rPr>
      <t xml:space="preserve">=              </t>
    </r>
    <r>
      <rPr>
        <sz val="9.5"/>
        <color rgb="FF010101"/>
        <rFont val="Times New Roman"/>
        <family val="1"/>
      </rPr>
      <t>837</t>
    </r>
    <r>
      <rPr>
        <sz val="9.5"/>
        <color rgb="FF5B5B5B"/>
        <rFont val="Times New Roman"/>
        <family val="1"/>
      </rPr>
      <t>.</t>
    </r>
    <r>
      <rPr>
        <sz val="9.5"/>
        <color rgb="FF010101"/>
        <rFont val="Times New Roman"/>
        <family val="1"/>
      </rPr>
      <t xml:space="preserve">0     ANNUAL RAINY DAYS </t>
    </r>
    <r>
      <rPr>
        <sz val="9"/>
        <color rgb="FF010101"/>
        <rFont val="Arial"/>
        <family val="2"/>
      </rPr>
      <t xml:space="preserve">=   </t>
    </r>
    <r>
      <rPr>
        <sz val="9.5"/>
        <color rgb="FF010101"/>
        <rFont val="Times New Roman"/>
        <family val="1"/>
      </rPr>
      <t>32          ANNUAL  NO OF OBSERVATIONS     365</t>
    </r>
  </si>
  <si>
    <r>
      <rPr>
        <sz val="9"/>
        <color rgb="FF010101"/>
        <rFont val="Times New Roman"/>
        <family val="1"/>
      </rPr>
      <t xml:space="preserve">HIGHEST  DAILY  RAINFALL  FOR 2000 WAS              </t>
    </r>
    <r>
      <rPr>
        <sz val="9"/>
        <color rgb="FF111111"/>
        <rFont val="Times New Roman"/>
        <family val="1"/>
      </rPr>
      <t>79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>0     mm ON   22-Jul</t>
    </r>
  </si>
  <si>
    <r>
      <rPr>
        <sz val="9"/>
        <color rgb="FF010101"/>
        <rFont val="Times New Roman"/>
        <family val="1"/>
      </rPr>
      <t xml:space="preserve">ANNUAL RAINFALL  =                  </t>
    </r>
    <r>
      <rPr>
        <sz val="9"/>
        <color rgb="FF111111"/>
        <rFont val="Times New Roman"/>
        <family val="1"/>
      </rPr>
      <t>459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 xml:space="preserve">0      ANNUAL RAINY  DAYS=      22           ANNUAL  NO OF OBSERVATIONS=      </t>
    </r>
    <r>
      <rPr>
        <sz val="9"/>
        <color rgb="FF111111"/>
        <rFont val="Times New Roman"/>
        <family val="1"/>
      </rPr>
      <t>366</t>
    </r>
  </si>
  <si>
    <r>
      <rPr>
        <b/>
        <sz val="8.5"/>
        <color rgb="FF010101"/>
        <rFont val="Arial"/>
        <family val="2"/>
      </rPr>
      <t>AUG</t>
    </r>
  </si>
  <si>
    <r>
      <rPr>
        <b/>
        <sz val="8.5"/>
        <color rgb="FF010101"/>
        <rFont val="Arial"/>
        <family val="2"/>
      </rPr>
      <t>OCT</t>
    </r>
  </si>
  <si>
    <r>
      <rPr>
        <sz val="9"/>
        <color rgb="FF010101"/>
        <rFont val="Times New Roman"/>
        <family val="1"/>
      </rPr>
      <t>HIGHEST  DAILY  RAINFALL  FOR 2003 WAS            150</t>
    </r>
    <r>
      <rPr>
        <sz val="9"/>
        <color rgb="FF3F3F3F"/>
        <rFont val="Times New Roman"/>
        <family val="1"/>
      </rPr>
      <t>.</t>
    </r>
    <r>
      <rPr>
        <sz val="9"/>
        <color rgb="FF010101"/>
        <rFont val="Times New Roman"/>
        <family val="1"/>
      </rPr>
      <t>0    mm ON   25-Jun</t>
    </r>
  </si>
  <si>
    <r>
      <rPr>
        <sz val="9"/>
        <color rgb="FF010101"/>
        <rFont val="Times New Roman"/>
        <family val="1"/>
      </rPr>
      <t>ANNUAL RAINFALL  =                  808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 xml:space="preserve">0      ANNUAL RAINY  DAYS=      37           ANNUAL  NO OF OBSERVATIONS=      </t>
    </r>
    <r>
      <rPr>
        <sz val="9"/>
        <color rgb="FF111111"/>
        <rFont val="Times New Roman"/>
        <family val="1"/>
      </rPr>
      <t>365</t>
    </r>
  </si>
  <si>
    <r>
      <rPr>
        <sz val="9"/>
        <color rgb="FF010101"/>
        <rFont val="Times New Roman"/>
        <family val="1"/>
      </rPr>
      <t>HIGHEST  DAILY  RAINFALL  FOR 2004 WAS            137.0    mm ON   19-Jun</t>
    </r>
  </si>
  <si>
    <r>
      <rPr>
        <sz val="9"/>
        <color rgb="FF010101"/>
        <rFont val="Times New Roman"/>
        <family val="1"/>
      </rPr>
      <t>ANNUAL RAINFALL  =                  978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>0      ANNUAL RAINY  DAYS =      33            ANNUAL  NO OF OBSERVATIONS=      366</t>
    </r>
  </si>
  <si>
    <r>
      <rPr>
        <sz val="9"/>
        <color rgb="FF010101"/>
        <rFont val="Times New Roman"/>
        <family val="1"/>
      </rPr>
      <t>HIGHEST  DAILY  RAINFALL  FOR 2005 WAS              60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 xml:space="preserve">0     mm ON   </t>
    </r>
    <r>
      <rPr>
        <sz val="9"/>
        <color rgb="FF111111"/>
        <rFont val="Times New Roman"/>
        <family val="1"/>
      </rPr>
      <t>18-Jul</t>
    </r>
  </si>
  <si>
    <r>
      <rPr>
        <sz val="9"/>
        <color rgb="FF010101"/>
        <rFont val="Times New Roman"/>
        <family val="1"/>
      </rPr>
      <t>ANNUAL RAINFALL  =                  691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 xml:space="preserve">1     ANNUAL RAINY  DAYS=      30           ANNUAL  NO OF OBSERVATIONS=      </t>
    </r>
    <r>
      <rPr>
        <sz val="9"/>
        <color rgb="FF111111"/>
        <rFont val="Times New Roman"/>
        <family val="1"/>
      </rPr>
      <t>365</t>
    </r>
  </si>
  <si>
    <r>
      <rPr>
        <sz val="9"/>
        <color rgb="FF010101"/>
        <rFont val="Times New Roman"/>
        <family val="1"/>
      </rPr>
      <t xml:space="preserve">HIGHEST  DAILY  RAINFALL  FOR </t>
    </r>
    <r>
      <rPr>
        <sz val="9"/>
        <color rgb="FF111111"/>
        <rFont val="Times New Roman"/>
        <family val="1"/>
      </rPr>
      <t xml:space="preserve">2006 </t>
    </r>
    <r>
      <rPr>
        <sz val="9"/>
        <color rgb="FF010101"/>
        <rFont val="Times New Roman"/>
        <family val="1"/>
      </rPr>
      <t>WAS              81</t>
    </r>
    <r>
      <rPr>
        <sz val="9"/>
        <color rgb="FF3F3F3F"/>
        <rFont val="Times New Roman"/>
        <family val="1"/>
      </rPr>
      <t>.</t>
    </r>
    <r>
      <rPr>
        <sz val="9"/>
        <color rgb="FF010101"/>
        <rFont val="Times New Roman"/>
        <family val="1"/>
      </rPr>
      <t>6     mm ON   26-Jul</t>
    </r>
  </si>
  <si>
    <r>
      <rPr>
        <sz val="9"/>
        <color rgb="FF010101"/>
        <rFont val="Times New Roman"/>
        <family val="1"/>
      </rPr>
      <t>ANNUAL RAINFALL  =                  551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 xml:space="preserve">5      ANNUAL RAINY  DAYS =      27           ANNUAL  </t>
    </r>
    <r>
      <rPr>
        <sz val="9"/>
        <color rgb="FF111111"/>
        <rFont val="Times New Roman"/>
        <family val="1"/>
      </rPr>
      <t xml:space="preserve">NO </t>
    </r>
    <r>
      <rPr>
        <sz val="9"/>
        <color rgb="FF010101"/>
        <rFont val="Times New Roman"/>
        <family val="1"/>
      </rPr>
      <t xml:space="preserve">OF OBSERVATIONS=      </t>
    </r>
    <r>
      <rPr>
        <sz val="9"/>
        <color rgb="FF111111"/>
        <rFont val="Times New Roman"/>
        <family val="1"/>
      </rPr>
      <t>365</t>
    </r>
  </si>
  <si>
    <r>
      <rPr>
        <sz val="9"/>
        <rFont val="Times New Roman"/>
        <family val="1"/>
      </rPr>
      <t>DATE</t>
    </r>
  </si>
  <si>
    <r>
      <rPr>
        <b/>
        <sz val="7.5"/>
        <rFont val="Arial"/>
        <family val="2"/>
      </rPr>
      <t>JAN</t>
    </r>
  </si>
  <si>
    <r>
      <rPr>
        <sz val="9"/>
        <rFont val="Times New Roman"/>
        <family val="1"/>
      </rPr>
      <t>FEB</t>
    </r>
  </si>
  <si>
    <r>
      <rPr>
        <b/>
        <sz val="7.5"/>
        <rFont val="Arial"/>
        <family val="2"/>
      </rPr>
      <t>MAR</t>
    </r>
  </si>
  <si>
    <r>
      <rPr>
        <b/>
        <sz val="7.5"/>
        <rFont val="Arial"/>
        <family val="2"/>
      </rPr>
      <t>APR</t>
    </r>
  </si>
  <si>
    <r>
      <rPr>
        <b/>
        <sz val="7.5"/>
        <rFont val="Arial"/>
        <family val="2"/>
      </rPr>
      <t>MAY</t>
    </r>
  </si>
  <si>
    <r>
      <rPr>
        <b/>
        <sz val="7.5"/>
        <rFont val="Arial"/>
        <family val="2"/>
      </rPr>
      <t>JUN</t>
    </r>
  </si>
  <si>
    <r>
      <rPr>
        <sz val="9"/>
        <rFont val="Times New Roman"/>
        <family val="1"/>
      </rPr>
      <t>JUL</t>
    </r>
  </si>
  <si>
    <r>
      <rPr>
        <b/>
        <sz val="7.5"/>
        <rFont val="Arial"/>
        <family val="2"/>
      </rPr>
      <t>AUG</t>
    </r>
  </si>
  <si>
    <r>
      <rPr>
        <sz val="9"/>
        <rFont val="Times New Roman"/>
        <family val="1"/>
      </rPr>
      <t>SEP</t>
    </r>
  </si>
  <si>
    <r>
      <rPr>
        <sz val="9"/>
        <rFont val="Times New Roman"/>
        <family val="1"/>
      </rPr>
      <t>OCT</t>
    </r>
  </si>
  <si>
    <r>
      <rPr>
        <b/>
        <sz val="7.5"/>
        <rFont val="Arial"/>
        <family val="2"/>
      </rPr>
      <t>NOV</t>
    </r>
  </si>
  <si>
    <r>
      <rPr>
        <sz val="9"/>
        <rFont val="Times New Roman"/>
        <family val="1"/>
      </rPr>
      <t>DEC</t>
    </r>
  </si>
  <si>
    <r>
      <rPr>
        <sz val="9"/>
        <color rgb="FF010101"/>
        <rFont val="Times New Roman"/>
        <family val="1"/>
      </rPr>
      <t>HIGHEST  DAILY  RAINFALL  FOR 2011 WAS            112</t>
    </r>
    <r>
      <rPr>
        <sz val="9"/>
        <color rgb="FF3F3F3F"/>
        <rFont val="Times New Roman"/>
        <family val="1"/>
      </rPr>
      <t>.</t>
    </r>
    <r>
      <rPr>
        <sz val="9"/>
        <color rgb="FF010101"/>
        <rFont val="Times New Roman"/>
        <family val="1"/>
      </rPr>
      <t>8    mm ON   8-Aug</t>
    </r>
  </si>
  <si>
    <r>
      <rPr>
        <sz val="9"/>
        <color rgb="FF010101"/>
        <rFont val="Times New Roman"/>
        <family val="1"/>
      </rPr>
      <t>HIGHEST  DAILY  RAINFALL  FOR 2012 WAS              66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>0     mm ON   22-Aug</t>
    </r>
  </si>
  <si>
    <r>
      <rPr>
        <sz val="8.5"/>
        <rFont val="Arial"/>
        <family val="2"/>
      </rPr>
      <t>HIGHEST DAILY RAINFALL FOR 2015 WAS              75.0     mm ON   15-Mar</t>
    </r>
  </si>
  <si>
    <r>
      <rPr>
        <sz val="8.5"/>
        <rFont val="Arial"/>
        <family val="2"/>
      </rPr>
      <t>HIGHEST DAILY RAINFALL FOR 2016 WAS            114.0    mm ON  08-Aug</t>
    </r>
  </si>
  <si>
    <r>
      <rPr>
        <sz val="8.5"/>
        <rFont val="Arial"/>
        <family val="2"/>
      </rPr>
      <t>HIGHEST DAILY RAINFALL FOR 2017 WAS             55.0    mm ON  27-Aug</t>
    </r>
  </si>
  <si>
    <r>
      <rPr>
        <sz val="8.5"/>
        <rFont val="Arial"/>
        <family val="2"/>
      </rPr>
      <t>HIGHEST DAILY RAINFALL FOR 2018 WAS             64.0    mm ON  20-Jul           &amp;       09-Sep</t>
    </r>
  </si>
  <si>
    <r>
      <rPr>
        <sz val="8.5"/>
        <rFont val="Arial"/>
        <family val="2"/>
      </rPr>
      <t>HIGHEST DAILY RAINFALL FOR 2019 WAS            125.0   mm ON   15-Aug</t>
    </r>
  </si>
  <si>
    <r>
      <rPr>
        <b/>
        <sz val="11"/>
        <color rgb="FF010101"/>
        <rFont val="Arial"/>
        <family val="2"/>
      </rPr>
      <t>JAN</t>
    </r>
  </si>
  <si>
    <r>
      <rPr>
        <b/>
        <sz val="11"/>
        <color rgb="FF010101"/>
        <rFont val="Arial"/>
        <family val="2"/>
      </rPr>
      <t>MAR</t>
    </r>
  </si>
  <si>
    <r>
      <rPr>
        <b/>
        <sz val="11"/>
        <color rgb="FF010101"/>
        <rFont val="Arial"/>
        <family val="2"/>
      </rPr>
      <t>MAY</t>
    </r>
  </si>
  <si>
    <r>
      <rPr>
        <b/>
        <sz val="11"/>
        <color rgb="FF010101"/>
        <rFont val="Arial"/>
        <family val="2"/>
      </rPr>
      <t>JUN</t>
    </r>
  </si>
  <si>
    <r>
      <rPr>
        <b/>
        <sz val="11"/>
        <color rgb="FF010101"/>
        <rFont val="Arial"/>
        <family val="2"/>
      </rPr>
      <t>JUL</t>
    </r>
  </si>
  <si>
    <r>
      <rPr>
        <b/>
        <sz val="11"/>
        <color rgb="FF010101"/>
        <rFont val="Arial"/>
        <family val="2"/>
      </rPr>
      <t>NOV</t>
    </r>
  </si>
  <si>
    <r>
      <rPr>
        <sz val="11"/>
        <color rgb="FF010101"/>
        <rFont val="Arial"/>
        <family val="2"/>
      </rPr>
      <t>DATE</t>
    </r>
  </si>
  <si>
    <r>
      <rPr>
        <sz val="11"/>
        <color rgb="FF010101"/>
        <rFont val="Arial"/>
        <family val="2"/>
      </rPr>
      <t>APR</t>
    </r>
  </si>
  <si>
    <r>
      <rPr>
        <sz val="11"/>
        <color rgb="FF010101"/>
        <rFont val="Arial"/>
        <family val="2"/>
      </rPr>
      <t>SEP</t>
    </r>
  </si>
  <si>
    <r>
      <rPr>
        <sz val="11"/>
        <color rgb="FF010101"/>
        <rFont val="Arial"/>
        <family val="2"/>
      </rPr>
      <t>OCT</t>
    </r>
  </si>
  <si>
    <r>
      <rPr>
        <sz val="11"/>
        <color rgb="FF010101"/>
        <rFont val="Arial"/>
        <family val="2"/>
      </rPr>
      <t>DEC</t>
    </r>
  </si>
  <si>
    <r>
      <rPr>
        <b/>
        <sz val="11"/>
        <color rgb="FF010101"/>
        <rFont val="Arial"/>
        <family val="2"/>
      </rPr>
      <t>DATE</t>
    </r>
  </si>
  <si>
    <r>
      <rPr>
        <b/>
        <sz val="11"/>
        <color rgb="FF010101"/>
        <rFont val="Arial"/>
        <family val="2"/>
      </rPr>
      <t>FEB</t>
    </r>
  </si>
  <si>
    <r>
      <rPr>
        <b/>
        <sz val="11"/>
        <color rgb="FF010101"/>
        <rFont val="Arial"/>
        <family val="2"/>
      </rPr>
      <t>APR</t>
    </r>
  </si>
  <si>
    <r>
      <rPr>
        <b/>
        <sz val="11"/>
        <color rgb="FF010101"/>
        <rFont val="Arial"/>
        <family val="2"/>
      </rPr>
      <t>AUG</t>
    </r>
  </si>
  <si>
    <r>
      <rPr>
        <b/>
        <sz val="11"/>
        <color rgb="FF010101"/>
        <rFont val="Arial"/>
        <family val="2"/>
      </rPr>
      <t>SEP</t>
    </r>
  </si>
  <si>
    <r>
      <rPr>
        <b/>
        <sz val="11"/>
        <color rgb="FF010101"/>
        <rFont val="Arial"/>
        <family val="2"/>
      </rPr>
      <t>OCT</t>
    </r>
  </si>
  <si>
    <r>
      <rPr>
        <b/>
        <sz val="11"/>
        <color rgb="FF010101"/>
        <rFont val="Arial"/>
        <family val="2"/>
      </rPr>
      <t>DEC</t>
    </r>
  </si>
  <si>
    <r>
      <rPr>
        <sz val="8"/>
        <color rgb="FF010101"/>
        <rFont val="Arial"/>
        <family val="2"/>
      </rPr>
      <t>MONTHLY</t>
    </r>
    <r>
      <rPr>
        <sz val="8"/>
        <rFont val="Arial"/>
        <family val="2"/>
      </rPr>
      <t xml:space="preserve"> RAINFALL</t>
    </r>
  </si>
  <si>
    <r>
      <rPr>
        <sz val="8"/>
        <color rgb="FF010101"/>
        <rFont val="Arial"/>
        <family val="2"/>
      </rPr>
      <t>RAINY DAYS</t>
    </r>
  </si>
  <si>
    <r>
      <rPr>
        <sz val="8"/>
        <color rgb="FF010101"/>
        <rFont val="Arial"/>
        <family val="2"/>
      </rPr>
      <t>NUMBER OF</t>
    </r>
  </si>
  <si>
    <r>
      <rPr>
        <sz val="8"/>
        <color rgb="FF010101"/>
        <rFont val="Arial"/>
        <family val="2"/>
      </rPr>
      <t xml:space="preserve">OBSffiV </t>
    </r>
    <r>
      <rPr>
        <sz val="8"/>
        <color rgb="FF181818"/>
        <rFont val="Arial"/>
        <family val="2"/>
      </rPr>
      <t>A</t>
    </r>
    <r>
      <rPr>
        <sz val="8"/>
        <color rgb="FF010101"/>
        <rFont val="Arial"/>
        <family val="2"/>
      </rPr>
      <t>TIONS</t>
    </r>
  </si>
  <si>
    <r>
      <rPr>
        <sz val="11"/>
        <color rgb="FF010101"/>
        <rFont val="Arial"/>
        <family val="2"/>
      </rPr>
      <t>JUN</t>
    </r>
  </si>
  <si>
    <r>
      <rPr>
        <sz val="11"/>
        <color rgb="FF010101"/>
        <rFont val="Arial"/>
        <family val="2"/>
      </rPr>
      <t>JUL</t>
    </r>
  </si>
  <si>
    <r>
      <rPr>
        <sz val="11"/>
        <color rgb="FF010101"/>
        <rFont val="Arial"/>
        <family val="2"/>
      </rPr>
      <t>RAINY DAYS</t>
    </r>
  </si>
  <si>
    <r>
      <rPr>
        <sz val="11"/>
        <color rgb="FF010101"/>
        <rFont val="Arial"/>
        <family val="2"/>
      </rPr>
      <t>NO. OF OBSERV</t>
    </r>
    <r>
      <rPr>
        <sz val="11"/>
        <color rgb="FF212121"/>
        <rFont val="Arial"/>
        <family val="2"/>
      </rPr>
      <t>A</t>
    </r>
    <r>
      <rPr>
        <sz val="11"/>
        <color rgb="FF010101"/>
        <rFont val="Arial"/>
        <family val="2"/>
      </rPr>
      <t>TIONS</t>
    </r>
  </si>
  <si>
    <t>MONTHLY RAINFALL</t>
  </si>
  <si>
    <t xml:space="preserve">ANNUAL RAINY DAYS =  35          </t>
  </si>
  <si>
    <t>ANNUAL No.OF OBSERVATIONS    366</t>
  </si>
  <si>
    <t>HIGHEST  DAILY RAINFALL FOR 1992 WAS 80.4 mm ON 11-Oct</t>
  </si>
  <si>
    <t xml:space="preserve">ANNUAL RAINFALL =    803.4     </t>
  </si>
  <si>
    <r>
      <rPr>
        <sz val="8.5"/>
        <color rgb="FF010101"/>
        <rFont val="Arial"/>
        <family val="2"/>
      </rPr>
      <t>HIGHEST DAILY RAINFALL FOR 1991 WAS  192</t>
    </r>
    <r>
      <rPr>
        <sz val="8.5"/>
        <color rgb="FF565656"/>
        <rFont val="Arial"/>
        <family val="2"/>
      </rPr>
      <t>.</t>
    </r>
    <r>
      <rPr>
        <sz val="8.5"/>
        <color rgb="FF010101"/>
        <rFont val="Arial"/>
        <family val="2"/>
      </rPr>
      <t>0   mm ON 31-Aug</t>
    </r>
  </si>
  <si>
    <r>
      <rPr>
        <sz val="8.5"/>
        <color rgb="FF010101"/>
        <rFont val="Arial"/>
        <family val="2"/>
      </rPr>
      <t>ANNUAL RAINFALL=               1173</t>
    </r>
    <r>
      <rPr>
        <sz val="8.5"/>
        <color rgb="FF565656"/>
        <rFont val="Arial"/>
        <family val="2"/>
      </rPr>
      <t>.</t>
    </r>
    <r>
      <rPr>
        <sz val="8.5"/>
        <color rgb="FF010101"/>
        <rFont val="Arial"/>
        <family val="2"/>
      </rPr>
      <t xml:space="preserve">5   </t>
    </r>
  </si>
  <si>
    <t xml:space="preserve">ANNUAL RAINY DAYS =   27        </t>
  </si>
  <si>
    <t xml:space="preserve">  ANNUAL No.OF OBSERVATIONS     365</t>
  </si>
  <si>
    <r>
      <rPr>
        <b/>
        <sz val="8.5"/>
        <color rgb="FF010101"/>
        <rFont val="Arial"/>
        <family val="2"/>
      </rPr>
      <t>DATE</t>
    </r>
  </si>
  <si>
    <r>
      <rPr>
        <b/>
        <sz val="8.5"/>
        <color rgb="FF010101"/>
        <rFont val="Arial"/>
        <family val="2"/>
      </rPr>
      <t>FEB</t>
    </r>
  </si>
  <si>
    <r>
      <rPr>
        <b/>
        <sz val="8.5"/>
        <color rgb="FF010101"/>
        <rFont val="Arial"/>
        <family val="2"/>
      </rPr>
      <t>SEP</t>
    </r>
  </si>
  <si>
    <r>
      <rPr>
        <b/>
        <sz val="8.5"/>
        <color rgb="FF010101"/>
        <rFont val="Arial"/>
        <family val="2"/>
      </rPr>
      <t>DEC</t>
    </r>
  </si>
  <si>
    <r>
      <rPr>
        <b/>
        <sz val="11"/>
        <color rgb="FF010101"/>
        <rFont val="Courier New"/>
        <family val="3"/>
      </rPr>
      <t>MAY</t>
    </r>
  </si>
  <si>
    <t xml:space="preserve">ANNUAL RAINFALL=               716.8    </t>
  </si>
  <si>
    <t xml:space="preserve"> ANNUAL RAINY DAYS =   27          </t>
  </si>
  <si>
    <t>ANNUAL No.OF OBSERVATIONS     366</t>
  </si>
  <si>
    <r>
      <rPr>
        <sz val="11"/>
        <color rgb="FF010101"/>
        <rFont val="Arial"/>
        <family val="2"/>
      </rPr>
      <t>MAR</t>
    </r>
  </si>
  <si>
    <r>
      <rPr>
        <sz val="11"/>
        <color rgb="FF010101"/>
        <rFont val="Arial"/>
        <family val="2"/>
      </rPr>
      <t>NOV</t>
    </r>
  </si>
  <si>
    <r>
      <rPr>
        <sz val="11"/>
        <color rgb="FF010101"/>
        <rFont val="Arial"/>
        <family val="2"/>
      </rPr>
      <t xml:space="preserve">ANNUAL RAINFALL=               633.4     ANNUAL RAINY DAYS =   </t>
    </r>
    <r>
      <rPr>
        <b/>
        <sz val="11"/>
        <color rgb="FF010101"/>
        <rFont val="Courier New"/>
        <family val="3"/>
      </rPr>
      <t xml:space="preserve">24    </t>
    </r>
    <r>
      <rPr>
        <sz val="11"/>
        <color rgb="FF010101"/>
        <rFont val="Arial"/>
        <family val="2"/>
      </rPr>
      <t>ANNUAL No</t>
    </r>
    <r>
      <rPr>
        <sz val="11"/>
        <color rgb="FF464646"/>
        <rFont val="Arial"/>
        <family val="2"/>
      </rPr>
      <t>.</t>
    </r>
    <r>
      <rPr>
        <sz val="11"/>
        <color rgb="FF010101"/>
        <rFont val="Arial"/>
        <family val="2"/>
      </rPr>
      <t>OF OBSERVATIONS     365</t>
    </r>
  </si>
  <si>
    <r>
      <rPr>
        <sz val="11"/>
        <color rgb="FF010101"/>
        <rFont val="Arial"/>
        <family val="2"/>
      </rPr>
      <t>HIGHEST DAILY RAINFALL FOR 1993 WAS        114</t>
    </r>
    <r>
      <rPr>
        <sz val="11"/>
        <color rgb="FF565656"/>
        <rFont val="Arial"/>
        <family val="2"/>
      </rPr>
      <t>.</t>
    </r>
    <r>
      <rPr>
        <sz val="11"/>
        <color rgb="FF010101"/>
        <rFont val="Arial"/>
        <family val="2"/>
      </rPr>
      <t>0   mm ON 6-Aug</t>
    </r>
  </si>
  <si>
    <r>
      <rPr>
        <b/>
        <sz val="11"/>
        <color rgb="FF010101"/>
        <rFont val="Times New Roman"/>
        <family val="1"/>
      </rPr>
      <t>JAN</t>
    </r>
  </si>
  <si>
    <r>
      <rPr>
        <b/>
        <sz val="11"/>
        <color rgb="FF010101"/>
        <rFont val="Times New Roman"/>
        <family val="1"/>
      </rPr>
      <t>JUN</t>
    </r>
  </si>
  <si>
    <r>
      <rPr>
        <sz val="11"/>
        <color rgb="FF010101"/>
        <rFont val="Arial"/>
        <family val="2"/>
      </rPr>
      <t>MONTHLY RAINFALL</t>
    </r>
  </si>
  <si>
    <r>
      <rPr>
        <sz val="11"/>
        <color rgb="FF010101"/>
        <rFont val="Arial"/>
        <family val="2"/>
      </rPr>
      <t>RAINYDAYS</t>
    </r>
  </si>
  <si>
    <r>
      <rPr>
        <b/>
        <sz val="11"/>
        <color rgb="FF010101"/>
        <rFont val="Times New Roman"/>
        <family val="1"/>
      </rPr>
      <t>MONTHLY RAINFALL</t>
    </r>
  </si>
  <si>
    <r>
      <rPr>
        <b/>
        <sz val="11"/>
        <color rgb="FF010101"/>
        <rFont val="Times New Roman"/>
        <family val="1"/>
      </rPr>
      <t>RAINYDAYS</t>
    </r>
  </si>
  <si>
    <r>
      <rPr>
        <b/>
        <sz val="11"/>
        <color rgb="FF010101"/>
        <rFont val="Times New Roman"/>
        <family val="1"/>
      </rPr>
      <t>NO</t>
    </r>
    <r>
      <rPr>
        <b/>
        <sz val="11"/>
        <color rgb="FF3F3F3F"/>
        <rFont val="Times New Roman"/>
        <family val="1"/>
      </rPr>
      <t xml:space="preserve">. </t>
    </r>
    <r>
      <rPr>
        <b/>
        <sz val="11"/>
        <color rgb="FF010101"/>
        <rFont val="Times New Roman"/>
        <family val="1"/>
      </rPr>
      <t>OF OBSERVATION</t>
    </r>
  </si>
  <si>
    <r>
      <rPr>
        <sz val="11"/>
        <color rgb="FF010101"/>
        <rFont val="Arial"/>
        <family val="2"/>
      </rPr>
      <t>NO</t>
    </r>
    <r>
      <rPr>
        <sz val="11"/>
        <color rgb="FF3F3F3F"/>
        <rFont val="Arial"/>
        <family val="2"/>
      </rPr>
      <t>.</t>
    </r>
    <r>
      <rPr>
        <sz val="11"/>
        <color rgb="FF010101"/>
        <rFont val="Arial"/>
        <family val="2"/>
      </rPr>
      <t>OFOBS-
-ERVATION</t>
    </r>
  </si>
  <si>
    <r>
      <rPr>
        <b/>
        <sz val="11"/>
        <color rgb="FF131313"/>
        <rFont val="Arial"/>
        <family val="2"/>
      </rPr>
      <t>FEB</t>
    </r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</si>
  <si>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</si>
  <si>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</si>
  <si>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</si>
  <si>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</si>
  <si>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</si>
  <si>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</si>
  <si>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</si>
  <si>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</si>
  <si>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</si>
  <si>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</si>
  <si>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</si>
  <si>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</si>
  <si>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</si>
  <si>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sz val="11"/>
        <color rgb="FF111111"/>
        <rFont val="Arial"/>
        <family val="2"/>
      </rPr>
      <t>FEB</t>
    </r>
  </si>
  <si>
    <r>
      <rPr>
        <b/>
        <sz val="11"/>
        <color rgb="FF111111"/>
        <rFont val="Arial"/>
        <family val="2"/>
      </rPr>
      <t>FEB</t>
    </r>
  </si>
  <si>
    <r>
      <rPr>
        <sz val="11"/>
        <color rgb="FF010101"/>
        <rFont val="Arial"/>
        <family val="2"/>
      </rPr>
      <t>NO</t>
    </r>
    <r>
      <rPr>
        <sz val="11"/>
        <color rgb="FF3F3F3F"/>
        <rFont val="Arial"/>
        <family val="2"/>
      </rPr>
      <t>.</t>
    </r>
    <r>
      <rPr>
        <sz val="11"/>
        <color rgb="FF010101"/>
        <rFont val="Arial"/>
        <family val="2"/>
      </rPr>
      <t>OFOBSERVATION</t>
    </r>
  </si>
  <si>
    <t>HIGHEST  DAILY  RAINFALL  FOR 2004 WAS            143.0    mm ON   07-Aug</t>
  </si>
  <si>
    <r>
      <rPr>
        <sz val="9"/>
        <color rgb="FF010101"/>
        <rFont val="Times New Roman"/>
        <family val="1"/>
      </rPr>
      <t>ANNUAL RAINFALL  =                  845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>0      ANNUAL RAINY  DAYS =      34           ANNUAL  NO OF OBSERVATIONS=      365</t>
    </r>
  </si>
  <si>
    <t>HIGHEST  DAILY  RAINFALL  FOR 2004 WAS            154.0    mm ON   11-Aug</t>
  </si>
  <si>
    <r>
      <rPr>
        <sz val="9"/>
        <color rgb="FF010101"/>
        <rFont val="Times New Roman"/>
        <family val="1"/>
      </rPr>
      <t>ANNUAL RAINFALL  =                  1048</t>
    </r>
    <r>
      <rPr>
        <sz val="9"/>
        <color rgb="FF545454"/>
        <rFont val="Times New Roman"/>
        <family val="1"/>
      </rPr>
      <t>.</t>
    </r>
    <r>
      <rPr>
        <sz val="9"/>
        <color rgb="FF010101"/>
        <rFont val="Times New Roman"/>
        <family val="1"/>
      </rPr>
      <t>0      ANNUAL RAINY  DAYS =      47          ANNUAL  NO OF OBSERVATIONS=      365</t>
    </r>
  </si>
  <si>
    <t>RAINYDAYS</t>
  </si>
  <si>
    <t>NO.OF OBSERVATION</t>
  </si>
  <si>
    <t>RAINY DAYS</t>
  </si>
  <si>
    <t>Year</t>
  </si>
  <si>
    <t xml:space="preserve">Max. rainfall (mm) </t>
  </si>
  <si>
    <t>Highest daily peak of year (mm)</t>
  </si>
  <si>
    <r>
      <t>P</t>
    </r>
    <r>
      <rPr>
        <b/>
        <vertAlign val="subscript"/>
        <sz val="14"/>
        <color theme="1"/>
        <rFont val="Calibri"/>
        <family val="2"/>
        <scheme val="minor"/>
      </rPr>
      <t>t</t>
    </r>
    <r>
      <rPr>
        <b/>
        <sz val="14"/>
        <color theme="1"/>
        <rFont val="Calibri"/>
        <family val="2"/>
        <scheme val="minor"/>
      </rPr>
      <t xml:space="preserve"> = P</t>
    </r>
    <r>
      <rPr>
        <b/>
        <vertAlign val="subscript"/>
        <sz val="14"/>
        <color theme="1"/>
        <rFont val="Calibri"/>
        <family val="2"/>
        <scheme val="minor"/>
      </rPr>
      <t>24</t>
    </r>
    <r>
      <rPr>
        <b/>
        <sz val="14"/>
        <color theme="1"/>
        <rFont val="Calibri"/>
        <family val="2"/>
        <scheme val="minor"/>
      </rPr>
      <t>*(t/24)^(1/3)</t>
    </r>
  </si>
  <si>
    <t>1H</t>
  </si>
  <si>
    <t>2H</t>
  </si>
  <si>
    <t>6H</t>
  </si>
  <si>
    <t>12H</t>
  </si>
  <si>
    <t>24H</t>
  </si>
  <si>
    <t>5 min</t>
  </si>
  <si>
    <t>10 min</t>
  </si>
  <si>
    <t>15 min</t>
  </si>
  <si>
    <t>30 min</t>
  </si>
  <si>
    <t>t =</t>
  </si>
  <si>
    <t>Mean</t>
  </si>
  <si>
    <t>Standard deviation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</si>
  <si>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values are calculated for different return periods using Gumbel's distribution</t>
    </r>
  </si>
  <si>
    <t>R.P. (yr)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</si>
  <si>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T</t>
    </r>
  </si>
  <si>
    <t>Duration
(hours)</t>
  </si>
  <si>
    <t>Return period T (years)</t>
  </si>
  <si>
    <t>Rainfall intensity (mm/hr) for different durations.</t>
  </si>
  <si>
    <t>Max. rainfall (mm) for different durations.</t>
  </si>
  <si>
    <t>Rainguage station Name:</t>
  </si>
  <si>
    <t>Indargarh</t>
  </si>
  <si>
    <t>District:</t>
  </si>
  <si>
    <t>Bundi</t>
  </si>
  <si>
    <t>State:</t>
  </si>
  <si>
    <t>Rajasthan</t>
  </si>
  <si>
    <t>Latitude</t>
  </si>
  <si>
    <t>Longitude</t>
  </si>
  <si>
    <r>
      <t>25</t>
    </r>
    <r>
      <rPr>
        <i/>
        <vertAlign val="superscript"/>
        <sz val="10"/>
        <color rgb="FF000000"/>
        <rFont val="Times New Roman"/>
        <family val="1"/>
      </rPr>
      <t>o</t>
    </r>
    <r>
      <rPr>
        <i/>
        <sz val="10"/>
        <color rgb="FF000000"/>
        <rFont val="Times New Roman"/>
        <family val="1"/>
      </rPr>
      <t>43" N</t>
    </r>
  </si>
  <si>
    <r>
      <t>76</t>
    </r>
    <r>
      <rPr>
        <i/>
        <vertAlign val="superscript"/>
        <sz val="10"/>
        <color rgb="FF000000"/>
        <rFont val="Times New Roman"/>
        <family val="1"/>
      </rPr>
      <t>o</t>
    </r>
    <r>
      <rPr>
        <i/>
        <sz val="10"/>
        <color rgb="FF000000"/>
        <rFont val="Times New Roman"/>
        <family val="1"/>
      </rPr>
      <t>12" E</t>
    </r>
  </si>
  <si>
    <t>Rainfall Analysis by Gumbel's Distribution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</si>
</sst>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3" x14ac:knownFonts="1">
    <font>
      <sz val="10"/>
      <color rgb="FF000000"/>
      <name val="Times New Roman"/>
      <charset val="204"/>
    </font>
    <font>
      <sz val="9.5"/>
      <name val="Times New Roman"/>
    </font>
    <font>
      <sz val="9.5"/>
      <color rgb="FF010101"/>
      <name val="Times New Roman"/>
      <family val="2"/>
    </font>
    <font>
      <b/>
      <sz val="8.5"/>
      <color rgb="FF010101"/>
      <name val="Arial"/>
      <family val="2"/>
    </font>
    <font>
      <sz val="9"/>
      <color rgb="FF010101"/>
      <name val="Arial"/>
      <family val="2"/>
    </font>
    <font>
      <sz val="6.5"/>
      <name val="Arial"/>
    </font>
    <font>
      <sz val="8.5"/>
      <name val="Arial"/>
    </font>
    <font>
      <b/>
      <sz val="8.5"/>
      <name val="Arial"/>
    </font>
    <font>
      <sz val="8.5"/>
      <color rgb="FF010101"/>
      <name val="Arial"/>
      <family val="2"/>
    </font>
    <font>
      <sz val="7"/>
      <name val="Arial"/>
    </font>
    <font>
      <sz val="9"/>
      <name val="Times New Roman"/>
    </font>
    <font>
      <sz val="9"/>
      <color rgb="FF010101"/>
      <name val="Times New Roman"/>
      <family val="2"/>
    </font>
    <font>
      <sz val="9"/>
      <color rgb="FF111111"/>
      <name val="Times New Roman"/>
      <family val="2"/>
    </font>
    <font>
      <sz val="8"/>
      <color rgb="FF010101"/>
      <name val="Arial"/>
      <family val="2"/>
    </font>
    <font>
      <b/>
      <sz val="9"/>
      <color rgb="FF111111"/>
      <name val="Courier New"/>
      <family val="2"/>
    </font>
    <font>
      <b/>
      <sz val="7.5"/>
      <name val="Arial"/>
    </font>
    <font>
      <sz val="9"/>
      <color rgb="FF000000"/>
      <name val="Times New Roman"/>
      <family val="2"/>
    </font>
    <font>
      <b/>
      <sz val="9"/>
      <color rgb="FF000000"/>
      <name val="Courier New"/>
      <family val="2"/>
    </font>
    <font>
      <sz val="8"/>
      <color rgb="FF000000"/>
      <name val="Arial"/>
      <family val="2"/>
    </font>
    <font>
      <sz val="8.5"/>
      <color rgb="FF000000"/>
      <name val="Arial"/>
      <family val="2"/>
    </font>
    <font>
      <sz val="9.5"/>
      <color rgb="FF010101"/>
      <name val="Times New Roman"/>
      <family val="1"/>
    </font>
    <font>
      <sz val="8.5"/>
      <color rgb="FF565656"/>
      <name val="Arial"/>
      <family val="2"/>
    </font>
    <font>
      <sz val="8.5"/>
      <color rgb="FF464646"/>
      <name val="Arial"/>
      <family val="2"/>
    </font>
    <font>
      <b/>
      <sz val="8.5"/>
      <color rgb="FF464646"/>
      <name val="Arial"/>
      <family val="2"/>
    </font>
    <font>
      <sz val="8.5"/>
      <color rgb="FF595959"/>
      <name val="Arial"/>
      <family val="2"/>
    </font>
    <font>
      <b/>
      <sz val="8.5"/>
      <color rgb="FF5B5B5B"/>
      <name val="Arial"/>
      <family val="2"/>
    </font>
    <font>
      <b/>
      <sz val="8"/>
      <color rgb="FF010101"/>
      <name val="Arial"/>
      <family val="2"/>
    </font>
    <font>
      <sz val="9.5"/>
      <color rgb="FF5B5B5B"/>
      <name val="Times New Roman"/>
      <family val="1"/>
    </font>
    <font>
      <b/>
      <sz val="8.5"/>
      <color rgb="FF444444"/>
      <name val="Arial"/>
      <family val="2"/>
    </font>
    <font>
      <sz val="9.5"/>
      <color rgb="FF444444"/>
      <name val="Times New Roman"/>
      <family val="1"/>
    </font>
    <font>
      <sz val="9"/>
      <color rgb="FF010101"/>
      <name val="Times New Roman"/>
      <family val="1"/>
    </font>
    <font>
      <sz val="9"/>
      <color rgb="FF3F3F3F"/>
      <name val="Times New Roman"/>
      <family val="1"/>
    </font>
    <font>
      <sz val="9"/>
      <color rgb="FF111111"/>
      <name val="Times New Roman"/>
      <family val="1"/>
    </font>
    <font>
      <sz val="9"/>
      <color rgb="FF545454"/>
      <name val="Times New Roman"/>
      <family val="1"/>
    </font>
    <font>
      <sz val="9"/>
      <name val="Times New Roman"/>
      <family val="1"/>
    </font>
    <font>
      <b/>
      <sz val="7.5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11"/>
      <color rgb="FF010101"/>
      <name val="Times New Roman"/>
      <family val="1"/>
    </font>
    <font>
      <b/>
      <sz val="11"/>
      <name val="Arial"/>
      <family val="2"/>
    </font>
    <font>
      <b/>
      <sz val="11"/>
      <color rgb="FF010101"/>
      <name val="Arial"/>
      <family val="2"/>
    </font>
    <font>
      <sz val="11"/>
      <name val="Arial"/>
      <family val="2"/>
    </font>
    <font>
      <sz val="11"/>
      <color rgb="FF010101"/>
      <name val="Arial"/>
      <family val="2"/>
    </font>
    <font>
      <sz val="9.5"/>
      <color rgb="FF01010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8"/>
      <color rgb="FF010101"/>
      <name val="Times New Roman"/>
      <family val="2"/>
    </font>
    <font>
      <sz val="8"/>
      <color rgb="FF000000"/>
      <name val="Times New Roman"/>
      <family val="1"/>
    </font>
    <font>
      <sz val="8"/>
      <color rgb="FF181818"/>
      <name val="Arial"/>
      <family val="2"/>
    </font>
    <font>
      <sz val="11"/>
      <color rgb="FF000000"/>
      <name val="Arial"/>
      <family val="2"/>
    </font>
    <font>
      <sz val="11"/>
      <color rgb="FF212121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Courier New"/>
      <family val="3"/>
    </font>
    <font>
      <b/>
      <sz val="11"/>
      <color rgb="FF010101"/>
      <name val="Courier New"/>
      <family val="3"/>
    </font>
    <font>
      <sz val="11"/>
      <color rgb="FF000000"/>
      <name val="Times New Roman"/>
      <family val="1"/>
    </font>
    <font>
      <b/>
      <sz val="11"/>
      <color rgb="FF010101"/>
      <name val="Courier New"/>
      <family val="2"/>
    </font>
    <font>
      <sz val="11"/>
      <color rgb="FF565656"/>
      <name val="Arial"/>
      <family val="2"/>
    </font>
    <font>
      <sz val="11"/>
      <color rgb="FF464646"/>
      <name val="Arial"/>
      <family val="2"/>
    </font>
    <font>
      <sz val="11"/>
      <color rgb="FF010101"/>
      <name val="Times New Roman"/>
      <family val="2"/>
    </font>
    <font>
      <b/>
      <sz val="11"/>
      <name val="Times New Roman"/>
      <family val="1"/>
    </font>
    <font>
      <b/>
      <sz val="11"/>
      <color rgb="FF010101"/>
      <name val="Times New Roman"/>
      <family val="1"/>
    </font>
    <font>
      <sz val="11"/>
      <color rgb="FF111111"/>
      <name val="Times New Roman"/>
      <family val="2"/>
    </font>
    <font>
      <sz val="11"/>
      <color rgb="FF111111"/>
      <name val="Arial"/>
      <family val="2"/>
    </font>
    <font>
      <sz val="11"/>
      <color rgb="FF111111"/>
      <name val="Times New Roman"/>
      <family val="1"/>
    </font>
    <font>
      <b/>
      <sz val="11"/>
      <color rgb="FF111111"/>
      <name val="Arial"/>
      <family val="2"/>
    </font>
    <font>
      <b/>
      <sz val="11"/>
      <color rgb="FF000000"/>
      <name val="Times New Roman"/>
      <family val="1"/>
    </font>
    <font>
      <b/>
      <sz val="11"/>
      <color rgb="FF3F3F3F"/>
      <name val="Times New Roman"/>
      <family val="1"/>
    </font>
    <font>
      <sz val="11"/>
      <color rgb="FF131313"/>
      <name val="Arial"/>
      <family val="2"/>
    </font>
    <font>
      <sz val="11"/>
      <color rgb="FF3F3F3F"/>
      <name val="Arial"/>
      <family val="2"/>
    </font>
    <font>
      <b/>
      <sz val="11"/>
      <color rgb="FF131313"/>
      <name val="Arial"/>
      <family val="2"/>
    </font>
    <font>
      <sz val="11"/>
      <color rgb="FF9C0005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2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perscript"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6CD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01010"/>
      </top>
      <bottom/>
      <diagonal/>
    </border>
    <border>
      <left/>
      <right/>
      <top/>
      <bottom style="thin">
        <color rgb="FF101010"/>
      </bottom>
      <diagonal/>
    </border>
    <border>
      <left/>
      <right/>
      <top style="thin">
        <color rgb="FF000000"/>
      </top>
      <bottom style="thin">
        <color rgb="FF1010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 applyAlignment="1">
      <alignment horizontal="left" vertical="top"/>
    </xf>
    <xf numFmtId="0" fontId="1" fillId="0" borderId="0" xfId="0" applyFont="1" applyAlignment="1">
      <alignment vertical="top" wrapText="1"/>
    </xf>
    <xf numFmtId="1" fontId="2" fillId="0" borderId="0" xfId="0" applyNumberFormat="1" applyFont="1" applyAlignment="1">
      <alignment vertical="top" shrinkToFit="1"/>
    </xf>
    <xf numFmtId="164" fontId="2" fillId="0" borderId="0" xfId="0" applyNumberFormat="1" applyFont="1" applyAlignment="1">
      <alignment vertical="top" shrinkToFi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1" fontId="43" fillId="0" borderId="6" xfId="0" applyNumberFormat="1" applyFont="1" applyBorder="1" applyAlignment="1">
      <alignment horizontal="center" vertical="center" shrinkToFit="1"/>
    </xf>
    <xf numFmtId="164" fontId="43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64" fontId="3" fillId="0" borderId="6" xfId="0" applyNumberFormat="1" applyFont="1" applyBorder="1" applyAlignment="1">
      <alignment horizontal="center" vertical="center" shrinkToFit="1"/>
    </xf>
    <xf numFmtId="1" fontId="4" fillId="0" borderId="6" xfId="0" applyNumberFormat="1" applyFont="1" applyBorder="1" applyAlignment="1">
      <alignment horizontal="center" vertical="center" shrinkToFit="1"/>
    </xf>
    <xf numFmtId="0" fontId="44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wrapText="1"/>
    </xf>
    <xf numFmtId="0" fontId="45" fillId="0" borderId="6" xfId="0" applyFont="1" applyBorder="1" applyAlignment="1">
      <alignment horizontal="center" vertical="center" wrapText="1"/>
    </xf>
    <xf numFmtId="164" fontId="46" fillId="0" borderId="6" xfId="0" applyNumberFormat="1" applyFont="1" applyBorder="1" applyAlignment="1">
      <alignment horizontal="center" vertical="top" shrinkToFit="1"/>
    </xf>
    <xf numFmtId="164" fontId="26" fillId="0" borderId="6" xfId="0" applyNumberFormat="1" applyFont="1" applyBorder="1" applyAlignment="1">
      <alignment horizontal="center" vertical="top" shrinkToFit="1"/>
    </xf>
    <xf numFmtId="0" fontId="45" fillId="0" borderId="6" xfId="0" applyFont="1" applyBorder="1" applyAlignment="1">
      <alignment horizontal="center" vertical="top" wrapText="1"/>
    </xf>
    <xf numFmtId="0" fontId="47" fillId="0" borderId="6" xfId="0" applyFont="1" applyBorder="1" applyAlignment="1">
      <alignment horizontal="center" vertical="top"/>
    </xf>
    <xf numFmtId="1" fontId="46" fillId="0" borderId="6" xfId="0" applyNumberFormat="1" applyFont="1" applyBorder="1" applyAlignment="1">
      <alignment horizontal="center" vertical="top" shrinkToFit="1"/>
    </xf>
    <xf numFmtId="1" fontId="26" fillId="0" borderId="6" xfId="0" applyNumberFormat="1" applyFont="1" applyBorder="1" applyAlignment="1">
      <alignment horizontal="center" vertical="top" shrinkToFit="1"/>
    </xf>
    <xf numFmtId="0" fontId="47" fillId="0" borderId="6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 vertical="center" shrinkToFit="1"/>
    </xf>
    <xf numFmtId="1" fontId="8" fillId="0" borderId="6" xfId="0" applyNumberFormat="1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164" fontId="42" fillId="0" borderId="6" xfId="0" applyNumberFormat="1" applyFont="1" applyBorder="1" applyAlignment="1">
      <alignment horizontal="center" vertical="center" shrinkToFit="1"/>
    </xf>
    <xf numFmtId="164" fontId="40" fillId="0" borderId="6" xfId="0" applyNumberFormat="1" applyFont="1" applyBorder="1" applyAlignment="1">
      <alignment horizontal="center" vertical="center" shrinkToFit="1"/>
    </xf>
    <xf numFmtId="1" fontId="42" fillId="0" borderId="6" xfId="0" applyNumberFormat="1" applyFont="1" applyBorder="1" applyAlignment="1">
      <alignment horizontal="center" vertical="center" shrinkToFit="1"/>
    </xf>
    <xf numFmtId="1" fontId="40" fillId="0" borderId="6" xfId="0" applyNumberFormat="1" applyFont="1" applyBorder="1" applyAlignment="1">
      <alignment horizontal="center" vertical="center" shrinkToFit="1"/>
    </xf>
    <xf numFmtId="0" fontId="42" fillId="0" borderId="6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/>
    </xf>
    <xf numFmtId="0" fontId="52" fillId="0" borderId="0" xfId="0" applyFont="1" applyAlignment="1">
      <alignment horizontal="left" vertical="top"/>
    </xf>
    <xf numFmtId="0" fontId="52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164" fontId="56" fillId="0" borderId="6" xfId="0" applyNumberFormat="1" applyFont="1" applyBorder="1" applyAlignment="1">
      <alignment horizontal="center" vertical="center" shrinkToFit="1"/>
    </xf>
    <xf numFmtId="1" fontId="56" fillId="0" borderId="6" xfId="0" applyNumberFormat="1" applyFont="1" applyBorder="1" applyAlignment="1">
      <alignment horizontal="center" vertical="center" shrinkToFit="1"/>
    </xf>
    <xf numFmtId="0" fontId="39" fillId="0" borderId="6" xfId="0" applyFont="1" applyBorder="1" applyAlignment="1">
      <alignment horizontal="center" vertical="center"/>
    </xf>
    <xf numFmtId="164" fontId="42" fillId="0" borderId="6" xfId="0" applyNumberFormat="1" applyFont="1" applyBorder="1" applyAlignment="1">
      <alignment vertical="top" shrinkToFit="1"/>
    </xf>
    <xf numFmtId="1" fontId="42" fillId="0" borderId="6" xfId="0" applyNumberFormat="1" applyFont="1" applyBorder="1" applyAlignment="1">
      <alignment vertical="top" shrinkToFit="1"/>
    </xf>
    <xf numFmtId="164" fontId="42" fillId="0" borderId="6" xfId="0" applyNumberFormat="1" applyFont="1" applyBorder="1" applyAlignment="1">
      <alignment horizontal="center" vertical="top" shrinkToFit="1"/>
    </xf>
    <xf numFmtId="1" fontId="42" fillId="0" borderId="6" xfId="0" applyNumberFormat="1" applyFont="1" applyBorder="1" applyAlignment="1">
      <alignment horizontal="center" vertical="top" shrinkToFit="1"/>
    </xf>
    <xf numFmtId="0" fontId="41" fillId="0" borderId="0" xfId="0" applyFont="1" applyAlignment="1">
      <alignment vertical="top"/>
    </xf>
    <xf numFmtId="0" fontId="55" fillId="0" borderId="0" xfId="0" applyFont="1" applyAlignment="1">
      <alignment horizontal="left" vertical="top"/>
    </xf>
    <xf numFmtId="0" fontId="5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1" xfId="0" applyBorder="1" applyAlignment="1">
      <alignment horizontal="left"/>
    </xf>
    <xf numFmtId="0" fontId="9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5" fillId="0" borderId="6" xfId="0" applyFont="1" applyBorder="1" applyAlignment="1">
      <alignment horizontal="center"/>
    </xf>
    <xf numFmtId="164" fontId="40" fillId="0" borderId="6" xfId="0" applyNumberFormat="1" applyFont="1" applyBorder="1" applyAlignment="1">
      <alignment horizontal="center" vertical="top" shrinkToFit="1"/>
    </xf>
    <xf numFmtId="1" fontId="59" fillId="0" borderId="6" xfId="0" applyNumberFormat="1" applyFont="1" applyBorder="1" applyAlignment="1">
      <alignment horizontal="center" vertical="top" shrinkToFit="1"/>
    </xf>
    <xf numFmtId="1" fontId="40" fillId="0" borderId="6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59" fillId="0" borderId="6" xfId="0" applyNumberFormat="1" applyFont="1" applyBorder="1" applyAlignment="1">
      <alignment horizontal="center" vertical="center" shrinkToFit="1"/>
    </xf>
    <xf numFmtId="1" fontId="8" fillId="0" borderId="0" xfId="0" applyNumberFormat="1" applyFont="1" applyAlignment="1">
      <alignment vertical="top" shrinkToFit="1"/>
    </xf>
    <xf numFmtId="1" fontId="3" fillId="0" borderId="0" xfId="0" applyNumberFormat="1" applyFont="1" applyAlignment="1">
      <alignment vertical="top" shrinkToFit="1"/>
    </xf>
    <xf numFmtId="0" fontId="1" fillId="0" borderId="0" xfId="0" applyFont="1" applyAlignment="1">
      <alignment vertical="top"/>
    </xf>
    <xf numFmtId="164" fontId="59" fillId="0" borderId="6" xfId="0" applyNumberFormat="1" applyFont="1" applyBorder="1" applyAlignment="1">
      <alignment horizontal="center" vertical="center" shrinkToFit="1"/>
    </xf>
    <xf numFmtId="0" fontId="49" fillId="0" borderId="6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vertical="top" shrinkToFit="1"/>
    </xf>
    <xf numFmtId="1" fontId="42" fillId="0" borderId="0" xfId="0" applyNumberFormat="1" applyFont="1" applyAlignment="1">
      <alignment horizontal="center" vertical="center" shrinkToFit="1"/>
    </xf>
    <xf numFmtId="164" fontId="42" fillId="0" borderId="0" xfId="0" applyNumberFormat="1" applyFont="1" applyAlignment="1">
      <alignment horizontal="center" vertical="center" shrinkToFit="1"/>
    </xf>
    <xf numFmtId="0" fontId="49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vertical="center" shrinkToFit="1"/>
    </xf>
    <xf numFmtId="1" fontId="11" fillId="0" borderId="0" xfId="0" applyNumberFormat="1" applyFont="1" applyAlignment="1">
      <alignment vertical="center" shrinkToFit="1"/>
    </xf>
    <xf numFmtId="164" fontId="11" fillId="0" borderId="0" xfId="0" applyNumberFormat="1" applyFont="1" applyAlignment="1">
      <alignment vertical="top" shrinkToFit="1"/>
    </xf>
    <xf numFmtId="0" fontId="10" fillId="0" borderId="0" xfId="0" applyFont="1" applyAlignment="1">
      <alignment vertical="top"/>
    </xf>
    <xf numFmtId="0" fontId="39" fillId="0" borderId="6" xfId="0" applyFont="1" applyBorder="1" applyAlignment="1">
      <alignment vertical="top"/>
    </xf>
    <xf numFmtId="1" fontId="63" fillId="0" borderId="6" xfId="0" applyNumberFormat="1" applyFont="1" applyBorder="1" applyAlignment="1">
      <alignment vertical="top" shrinkToFit="1"/>
    </xf>
    <xf numFmtId="164" fontId="63" fillId="0" borderId="6" xfId="0" applyNumberFormat="1" applyFont="1" applyBorder="1" applyAlignment="1">
      <alignment vertical="top" shrinkToFit="1"/>
    </xf>
    <xf numFmtId="0" fontId="49" fillId="0" borderId="6" xfId="0" applyFont="1" applyBorder="1"/>
    <xf numFmtId="1" fontId="42" fillId="0" borderId="0" xfId="0" applyNumberFormat="1" applyFont="1" applyAlignment="1">
      <alignment vertical="top" shrinkToFit="1"/>
    </xf>
    <xf numFmtId="164" fontId="42" fillId="0" borderId="0" xfId="0" applyNumberFormat="1" applyFont="1" applyAlignment="1">
      <alignment vertical="top" shrinkToFit="1"/>
    </xf>
    <xf numFmtId="0" fontId="49" fillId="0" borderId="0" xfId="0" applyFont="1"/>
    <xf numFmtId="0" fontId="41" fillId="0" borderId="0" xfId="0" applyFont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shrinkToFit="1"/>
    </xf>
    <xf numFmtId="1" fontId="62" fillId="0" borderId="6" xfId="0" applyNumberFormat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 shrinkToFit="1"/>
    </xf>
    <xf numFmtId="164" fontId="63" fillId="0" borderId="6" xfId="0" applyNumberFormat="1" applyFont="1" applyBorder="1" applyAlignment="1">
      <alignment horizontal="center" vertical="center" shrinkToFit="1"/>
    </xf>
    <xf numFmtId="1" fontId="63" fillId="0" borderId="6" xfId="0" applyNumberFormat="1" applyFont="1" applyBorder="1" applyAlignment="1">
      <alignment horizontal="center" vertical="center" shrinkToFit="1"/>
    </xf>
    <xf numFmtId="0" fontId="0" fillId="0" borderId="3" xfId="0" applyBorder="1"/>
    <xf numFmtId="1" fontId="14" fillId="0" borderId="6" xfId="0" applyNumberFormat="1" applyFont="1" applyBorder="1" applyAlignment="1">
      <alignment horizontal="center" vertical="center" shrinkToFit="1"/>
    </xf>
    <xf numFmtId="1" fontId="65" fillId="0" borderId="6" xfId="0" applyNumberFormat="1" applyFont="1" applyBorder="1" applyAlignment="1">
      <alignment horizontal="center" vertical="center" shrinkToFit="1"/>
    </xf>
    <xf numFmtId="164" fontId="65" fillId="0" borderId="6" xfId="0" applyNumberFormat="1" applyFont="1" applyBorder="1" applyAlignment="1">
      <alignment horizontal="center" vertical="center" shrinkToFit="1"/>
    </xf>
    <xf numFmtId="0" fontId="49" fillId="0" borderId="0" xfId="0" applyFont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164" fontId="38" fillId="0" borderId="6" xfId="0" applyNumberFormat="1" applyFont="1" applyBorder="1" applyAlignment="1">
      <alignment horizontal="center" shrinkToFit="1"/>
    </xf>
    <xf numFmtId="164" fontId="64" fillId="0" borderId="6" xfId="0" applyNumberFormat="1" applyFont="1" applyBorder="1" applyAlignment="1">
      <alignment horizontal="center" shrinkToFit="1"/>
    </xf>
    <xf numFmtId="1" fontId="38" fillId="0" borderId="6" xfId="0" applyNumberFormat="1" applyFont="1" applyBorder="1" applyAlignment="1">
      <alignment horizontal="center" shrinkToFit="1"/>
    </xf>
    <xf numFmtId="1" fontId="64" fillId="0" borderId="6" xfId="0" applyNumberFormat="1" applyFont="1" applyBorder="1" applyAlignment="1">
      <alignment horizontal="center" shrinkToFit="1"/>
    </xf>
    <xf numFmtId="0" fontId="60" fillId="0" borderId="6" xfId="0" applyFont="1" applyBorder="1" applyAlignment="1">
      <alignment horizontal="left"/>
    </xf>
    <xf numFmtId="0" fontId="66" fillId="0" borderId="6" xfId="0" applyFont="1" applyBorder="1" applyAlignment="1">
      <alignment horizontal="left"/>
    </xf>
    <xf numFmtId="0" fontId="66" fillId="0" borderId="0" xfId="0" applyFont="1" applyAlignment="1">
      <alignment horizontal="left"/>
    </xf>
    <xf numFmtId="1" fontId="38" fillId="0" borderId="0" xfId="0" applyNumberFormat="1" applyFont="1" applyAlignment="1">
      <alignment horizontal="center" shrinkToFit="1"/>
    </xf>
    <xf numFmtId="1" fontId="64" fillId="0" borderId="0" xfId="0" applyNumberFormat="1" applyFont="1" applyAlignment="1">
      <alignment horizontal="center" shrinkToFit="1"/>
    </xf>
    <xf numFmtId="0" fontId="41" fillId="0" borderId="6" xfId="0" applyFont="1" applyBorder="1" applyAlignment="1">
      <alignment vertical="top"/>
    </xf>
    <xf numFmtId="1" fontId="68" fillId="0" borderId="6" xfId="0" applyNumberFormat="1" applyFont="1" applyBorder="1" applyAlignment="1">
      <alignment vertical="top" shrinkToFit="1"/>
    </xf>
    <xf numFmtId="164" fontId="42" fillId="0" borderId="6" xfId="0" applyNumberFormat="1" applyFont="1" applyBorder="1" applyAlignment="1">
      <alignment vertical="center" shrinkToFit="1"/>
    </xf>
    <xf numFmtId="164" fontId="68" fillId="0" borderId="6" xfId="0" applyNumberFormat="1" applyFont="1" applyBorder="1" applyAlignment="1">
      <alignment vertical="center" shrinkToFit="1"/>
    </xf>
    <xf numFmtId="0" fontId="49" fillId="0" borderId="6" xfId="0" applyFont="1" applyBorder="1" applyAlignment="1">
      <alignment vertical="center"/>
    </xf>
    <xf numFmtId="0" fontId="49" fillId="0" borderId="6" xfId="0" applyFont="1" applyBorder="1" applyAlignment="1">
      <alignment vertical="top"/>
    </xf>
    <xf numFmtId="1" fontId="42" fillId="0" borderId="6" xfId="0" applyNumberFormat="1" applyFont="1" applyBorder="1" applyAlignment="1">
      <alignment vertical="center" shrinkToFit="1"/>
    </xf>
    <xf numFmtId="1" fontId="68" fillId="0" borderId="6" xfId="0" applyNumberFormat="1" applyFont="1" applyBorder="1" applyAlignment="1">
      <alignment vertical="center" shrinkToFit="1"/>
    </xf>
    <xf numFmtId="164" fontId="68" fillId="0" borderId="6" xfId="0" applyNumberFormat="1" applyFont="1" applyBorder="1" applyAlignment="1">
      <alignment horizontal="center" vertical="center" shrinkToFit="1"/>
    </xf>
    <xf numFmtId="1" fontId="68" fillId="0" borderId="6" xfId="0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top"/>
    </xf>
    <xf numFmtId="1" fontId="42" fillId="0" borderId="0" xfId="0" applyNumberFormat="1" applyFont="1" applyAlignment="1">
      <alignment vertical="center" shrinkToFit="1"/>
    </xf>
    <xf numFmtId="1" fontId="68" fillId="0" borderId="0" xfId="0" applyNumberFormat="1" applyFont="1" applyAlignment="1">
      <alignment vertical="center" shrinkToFit="1"/>
    </xf>
    <xf numFmtId="0" fontId="10" fillId="0" borderId="5" xfId="0" applyFont="1" applyBorder="1" applyAlignment="1">
      <alignment vertical="top"/>
    </xf>
    <xf numFmtId="1" fontId="16" fillId="0" borderId="0" xfId="0" applyNumberFormat="1" applyFont="1" applyAlignment="1">
      <alignment vertical="top" shrinkToFit="1"/>
    </xf>
    <xf numFmtId="164" fontId="16" fillId="0" borderId="0" xfId="0" applyNumberFormat="1" applyFont="1" applyAlignment="1">
      <alignment vertical="top" shrinkToFit="1"/>
    </xf>
    <xf numFmtId="164" fontId="16" fillId="0" borderId="4" xfId="0" applyNumberFormat="1" applyFont="1" applyBorder="1" applyAlignment="1">
      <alignment vertical="top" shrinkToFit="1"/>
    </xf>
    <xf numFmtId="164" fontId="16" fillId="0" borderId="3" xfId="0" applyNumberFormat="1" applyFont="1" applyBorder="1" applyAlignment="1">
      <alignment vertical="top" shrinkToFit="1"/>
    </xf>
    <xf numFmtId="1" fontId="11" fillId="0" borderId="0" xfId="0" applyNumberFormat="1" applyFont="1" applyAlignment="1">
      <alignment vertical="top" shrinkToFit="1"/>
    </xf>
    <xf numFmtId="164" fontId="19" fillId="0" borderId="0" xfId="0" applyNumberFormat="1" applyFont="1" applyAlignment="1">
      <alignment vertical="top" shrinkToFit="1"/>
    </xf>
    <xf numFmtId="1" fontId="19" fillId="0" borderId="0" xfId="0" applyNumberFormat="1" applyFont="1" applyAlignment="1">
      <alignment vertical="top" shrinkToFit="1"/>
    </xf>
    <xf numFmtId="0" fontId="30" fillId="0" borderId="0" xfId="0" applyFont="1" applyAlignment="1">
      <alignment vertical="top"/>
    </xf>
    <xf numFmtId="0" fontId="34" fillId="0" borderId="0" xfId="0" applyFont="1" applyAlignment="1">
      <alignment vertical="top"/>
    </xf>
    <xf numFmtId="1" fontId="49" fillId="0" borderId="6" xfId="0" applyNumberFormat="1" applyFont="1" applyBorder="1" applyAlignment="1">
      <alignment horizontal="center" vertical="top" shrinkToFit="1"/>
    </xf>
    <xf numFmtId="164" fontId="49" fillId="0" borderId="6" xfId="0" applyNumberFormat="1" applyFont="1" applyBorder="1" applyAlignment="1">
      <alignment horizontal="center" vertical="top" shrinkToFit="1"/>
    </xf>
    <xf numFmtId="164" fontId="71" fillId="2" borderId="6" xfId="0" applyNumberFormat="1" applyFont="1" applyFill="1" applyBorder="1" applyAlignment="1">
      <alignment horizontal="center" vertical="top" shrinkToFit="1"/>
    </xf>
    <xf numFmtId="164" fontId="49" fillId="0" borderId="6" xfId="0" applyNumberFormat="1" applyFont="1" applyBorder="1" applyAlignment="1">
      <alignment vertical="center" shrinkToFit="1"/>
    </xf>
    <xf numFmtId="1" fontId="49" fillId="0" borderId="6" xfId="0" applyNumberFormat="1" applyFont="1" applyBorder="1" applyAlignment="1">
      <alignment vertical="top" shrinkToFit="1"/>
    </xf>
    <xf numFmtId="164" fontId="49" fillId="0" borderId="6" xfId="0" applyNumberFormat="1" applyFont="1" applyBorder="1" applyAlignment="1">
      <alignment horizontal="center" vertical="center" shrinkToFit="1"/>
    </xf>
    <xf numFmtId="1" fontId="49" fillId="0" borderId="6" xfId="0" applyNumberFormat="1" applyFont="1" applyBorder="1" applyAlignment="1">
      <alignment horizontal="center" vertical="center" shrinkToFit="1"/>
    </xf>
    <xf numFmtId="164" fontId="71" fillId="2" borderId="6" xfId="0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vertical="top"/>
    </xf>
    <xf numFmtId="0" fontId="15" fillId="0" borderId="6" xfId="0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 shrinkToFit="1"/>
    </xf>
    <xf numFmtId="1" fontId="16" fillId="0" borderId="6" xfId="0" applyNumberFormat="1" applyFont="1" applyBorder="1" applyAlignment="1">
      <alignment horizontal="center" vertical="center" shrinkToFit="1"/>
    </xf>
    <xf numFmtId="164" fontId="17" fillId="0" borderId="6" xfId="0" applyNumberFormat="1" applyFont="1" applyBorder="1" applyAlignment="1">
      <alignment horizontal="center" vertical="center" shrinkToFit="1"/>
    </xf>
    <xf numFmtId="1" fontId="18" fillId="0" borderId="6" xfId="0" applyNumberFormat="1" applyFont="1" applyBorder="1" applyAlignment="1">
      <alignment horizontal="center" vertical="center" shrinkToFit="1"/>
    </xf>
    <xf numFmtId="1" fontId="17" fillId="0" borderId="6" xfId="0" applyNumberFormat="1" applyFont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/>
    </xf>
    <xf numFmtId="164" fontId="72" fillId="0" borderId="6" xfId="0" applyNumberFormat="1" applyFont="1" applyBorder="1" applyAlignment="1">
      <alignment horizontal="center" vertical="center" shrinkToFit="1"/>
    </xf>
    <xf numFmtId="1" fontId="72" fillId="0" borderId="6" xfId="0" applyNumberFormat="1" applyFont="1" applyBorder="1" applyAlignment="1">
      <alignment horizontal="center" vertical="center" shrinkToFit="1"/>
    </xf>
    <xf numFmtId="0" fontId="73" fillId="0" borderId="0" xfId="0" applyFont="1" applyAlignment="1">
      <alignment horizontal="left" vertical="center" wrapText="1"/>
    </xf>
    <xf numFmtId="0" fontId="73" fillId="0" borderId="0" xfId="0" applyFont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73" fillId="0" borderId="0" xfId="0" quotePrefix="1" applyFont="1" applyAlignment="1">
      <alignment horizontal="center" vertical="center" wrapText="1"/>
    </xf>
    <xf numFmtId="0" fontId="76" fillId="0" borderId="6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76" fillId="0" borderId="0" xfId="0" applyFont="1" applyBorder="1" applyAlignment="1">
      <alignment horizontal="right" vertical="center"/>
    </xf>
    <xf numFmtId="2" fontId="0" fillId="0" borderId="6" xfId="0" applyNumberFormat="1" applyBorder="1" applyAlignment="1">
      <alignment horizontal="center" vertical="center"/>
    </xf>
    <xf numFmtId="0" fontId="74" fillId="0" borderId="6" xfId="0" applyFont="1" applyBorder="1"/>
    <xf numFmtId="0" fontId="74" fillId="0" borderId="6" xfId="0" applyFont="1" applyBorder="1" applyAlignment="1">
      <alignment horizontal="center" vertical="center" wrapText="1"/>
    </xf>
    <xf numFmtId="0" fontId="74" fillId="0" borderId="7" xfId="0" applyFont="1" applyBorder="1" applyAlignment="1">
      <alignment horizontal="left" vertical="center" wrapText="1"/>
    </xf>
    <xf numFmtId="0" fontId="74" fillId="0" borderId="6" xfId="0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74" fillId="0" borderId="6" xfId="0" applyFont="1" applyBorder="1" applyAlignment="1">
      <alignment horizontal="center" wrapText="1"/>
    </xf>
    <xf numFmtId="0" fontId="74" fillId="0" borderId="6" xfId="0" applyFont="1" applyBorder="1" applyAlignment="1">
      <alignment horizontal="center"/>
    </xf>
    <xf numFmtId="0" fontId="76" fillId="0" borderId="8" xfId="0" applyFont="1" applyBorder="1" applyAlignment="1">
      <alignment horizontal="center"/>
    </xf>
    <xf numFmtId="0" fontId="76" fillId="0" borderId="6" xfId="0" applyFont="1" applyBorder="1" applyAlignment="1">
      <alignment horizontal="center"/>
    </xf>
    <xf numFmtId="0" fontId="76" fillId="0" borderId="0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78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4" fillId="0" borderId="0" xfId="0" applyFont="1" applyAlignment="1">
      <alignment horizontal="center" vertical="center" wrapText="1"/>
    </xf>
    <xf numFmtId="0" fontId="74" fillId="0" borderId="0" xfId="0" applyFont="1" applyAlignment="1">
      <alignment horizontal="left" vertical="center"/>
    </xf>
    <xf numFmtId="0" fontId="51" fillId="0" borderId="0" xfId="0" applyFont="1" applyBorder="1" applyAlignment="1">
      <alignment horizontal="center" vertical="center"/>
    </xf>
    <xf numFmtId="0" fontId="80" fillId="0" borderId="0" xfId="0" applyFont="1" applyAlignment="1">
      <alignment horizontal="left" vertical="top"/>
    </xf>
    <xf numFmtId="0" fontId="81" fillId="0" borderId="0" xfId="0" applyFont="1" applyAlignment="1">
      <alignment horizontal="left" vertical="top"/>
    </xf>
    <xf numFmtId="0" fontId="0" fillId="4" borderId="0" xfId="0" applyFill="1" applyAlignment="1">
      <alignment horizontal="left" vertical="top"/>
    </xf>
    <xf numFmtId="0" fontId="79" fillId="4" borderId="0" xfId="0" applyFont="1" applyFill="1" applyAlignment="1">
      <alignment horizontal="left" vertical="top"/>
    </xf>
    <xf numFmtId="0" fontId="73" fillId="4" borderId="9" xfId="0" quotePrefix="1" applyFont="1" applyFill="1" applyBorder="1" applyAlignment="1">
      <alignment horizontal="center" vertical="center" wrapText="1"/>
    </xf>
    <xf numFmtId="0" fontId="73" fillId="4" borderId="10" xfId="0" quotePrefix="1" applyFont="1" applyFill="1" applyBorder="1" applyAlignment="1">
      <alignment horizontal="center" vertical="center" wrapText="1"/>
    </xf>
    <xf numFmtId="0" fontId="73" fillId="4" borderId="1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50821398021627"/>
          <c:y val="0.10010796221322538"/>
          <c:w val="0.83154270757937987"/>
          <c:h val="0.79893844241129786"/>
        </c:manualLayout>
      </c:layout>
      <c:scatterChart>
        <c:scatterStyle val="smoothMarker"/>
        <c:varyColors val="0"/>
        <c:ser>
          <c:idx val="0"/>
          <c:order val="0"/>
          <c:tx>
            <c:v>2 Year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'Rainfall Analysis (3)'!$E$47:$E$51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(3)'!$G$47:$G$51</c:f>
              <c:numCache>
                <c:formatCode>0.00</c:formatCode>
                <c:ptCount val="5"/>
                <c:pt idx="0">
                  <c:v>33.658362974758717</c:v>
                </c:pt>
                <c:pt idx="1">
                  <c:v>42.406880016900722</c:v>
                </c:pt>
                <c:pt idx="2">
                  <c:v>61.161304482452898</c:v>
                </c:pt>
                <c:pt idx="3">
                  <c:v>77.058414956472078</c:v>
                </c:pt>
                <c:pt idx="4">
                  <c:v>97.087519075193114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3-4AF9-8CF8-2FE43E70E9A2}"/>
            </c:ext>
          </c:extLst>
        </c:ser>
        <c:ser>
          <c:idx val="1"/>
          <c:order val="1"/>
          <c:tx>
            <c:v>5 Year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'Rainfall Analysis (3)'!$E$47:$E$51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(3)'!$H$47:$H$51</c:f>
              <c:numCache>
                <c:formatCode>0.00</c:formatCode>
                <c:ptCount val="5"/>
                <c:pt idx="0">
                  <c:v>47.063213254064024</c:v>
                </c:pt>
                <c:pt idx="1">
                  <c:v>59.295933054486653</c:v>
                </c:pt>
                <c:pt idx="2">
                  <c:v>85.519533968810237</c:v>
                </c:pt>
                <c:pt idx="3">
                  <c:v>107.74786102450366</c:v>
                </c:pt>
                <c:pt idx="4">
                  <c:v>135.75379818591949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13-4AF9-8CF8-2FE43E70E9A2}"/>
            </c:ext>
          </c:extLst>
        </c:ser>
        <c:ser>
          <c:idx val="2"/>
          <c:order val="2"/>
          <c:tx>
            <c:v>10 Year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'Rainfall Analysis (3)'!$E$47:$E$51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(3)'!$I$47:$I$51</c:f>
              <c:numCache>
                <c:formatCode>0.00</c:formatCode>
                <c:ptCount val="5"/>
                <c:pt idx="0">
                  <c:v>55.938390533473395</c:v>
                </c:pt>
                <c:pt idx="1">
                  <c:v>70.47795573036322</c:v>
                </c:pt>
                <c:pt idx="2">
                  <c:v>101.64680136826091</c:v>
                </c:pt>
                <c:pt idx="3">
                  <c:v>128.06694469835492</c:v>
                </c:pt>
                <c:pt idx="4">
                  <c:v>161.35423942117993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13-4AF9-8CF8-2FE43E70E9A2}"/>
            </c:ext>
          </c:extLst>
        </c:ser>
        <c:ser>
          <c:idx val="3"/>
          <c:order val="3"/>
          <c:tx>
            <c:v>50 Year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'Rainfall Analysis (3)'!$E$47:$E$51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(3)'!$J$47:$J$51</c:f>
              <c:numCache>
                <c:formatCode>0.00</c:formatCode>
                <c:ptCount val="5"/>
                <c:pt idx="0">
                  <c:v>75.471245423957924</c:v>
                </c:pt>
                <c:pt idx="1">
                  <c:v>95.087810771426675</c:v>
                </c:pt>
                <c:pt idx="2">
                  <c:v>137.14035422656229</c:v>
                </c:pt>
                <c:pt idx="3">
                  <c:v>172.78601908008517</c:v>
                </c:pt>
                <c:pt idx="4">
                  <c:v>217.69674256653639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13-4AF9-8CF8-2FE43E70E9A2}"/>
            </c:ext>
          </c:extLst>
        </c:ser>
        <c:ser>
          <c:idx val="4"/>
          <c:order val="4"/>
          <c:tx>
            <c:v>100 Year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'Rainfall Analysis (3)'!$E$47:$E$51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(3)'!$K$47:$K$51</c:f>
              <c:numCache>
                <c:formatCode>0.00</c:formatCode>
                <c:ptCount val="5"/>
                <c:pt idx="0">
                  <c:v>83.728863772794909</c:v>
                </c:pt>
                <c:pt idx="1">
                  <c:v>105.49175795112455</c:v>
                </c:pt>
                <c:pt idx="2">
                  <c:v>152.14544257598254</c:v>
                </c:pt>
                <c:pt idx="3">
                  <c:v>191.69124574705205</c:v>
                </c:pt>
                <c:pt idx="4">
                  <c:v>241.51583559728178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13-4AF9-8CF8-2FE43E70E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103264"/>
        <c:axId val="701105784"/>
      </c:scatterChart>
      <c:valAx>
        <c:axId val="70110326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Duratiioon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05784"/>
        <c:crosses val="autoZero"/>
        <c:crossBetween val="midCat"/>
      </c:valAx>
      <c:valAx>
        <c:axId val="70110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72037374158313"/>
          <c:y val="0.12984390109131094"/>
          <c:w val="0.11519048976816616"/>
          <c:h val="0.2236596171005463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3415394374673"/>
          <c:y val="0.13737037037037036"/>
          <c:w val="0.84962383673072694"/>
          <c:h val="0.70974657334499858"/>
        </c:manualLayout>
      </c:layout>
      <c:scatterChart>
        <c:scatterStyle val="smoothMarker"/>
        <c:varyColors val="0"/>
        <c:ser>
          <c:idx val="0"/>
          <c:order val="0"/>
          <c:tx>
            <c:v>2 Year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'Rainfall Analysis (3)'!$M$47:$M$51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(3)'!$O$47:$O$51</c:f>
              <c:numCache>
                <c:formatCode>0.00</c:formatCode>
                <c:ptCount val="5"/>
                <c:pt idx="0">
                  <c:v>33.658362974758717</c:v>
                </c:pt>
                <c:pt idx="1">
                  <c:v>21.203440008450361</c:v>
                </c:pt>
                <c:pt idx="2">
                  <c:v>10.193550747075484</c:v>
                </c:pt>
                <c:pt idx="3">
                  <c:v>6.4215345797060071</c:v>
                </c:pt>
                <c:pt idx="4">
                  <c:v>4.0453132947997128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8C-49D2-9C58-F891D631EFFB}"/>
            </c:ext>
          </c:extLst>
        </c:ser>
        <c:ser>
          <c:idx val="1"/>
          <c:order val="1"/>
          <c:tx>
            <c:v>5 Year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'Rainfall Analysis (3)'!$M$47:$M$51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(3)'!$P$47:$P$51</c:f>
              <c:numCache>
                <c:formatCode>0.00</c:formatCode>
                <c:ptCount val="5"/>
                <c:pt idx="0">
                  <c:v>47.063213254064024</c:v>
                </c:pt>
                <c:pt idx="1">
                  <c:v>29.647966527243327</c:v>
                </c:pt>
                <c:pt idx="2">
                  <c:v>14.253255661468373</c:v>
                </c:pt>
                <c:pt idx="3">
                  <c:v>8.9789884187086368</c:v>
                </c:pt>
                <c:pt idx="4">
                  <c:v>5.6564082577466461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8C-49D2-9C58-F891D631EFFB}"/>
            </c:ext>
          </c:extLst>
        </c:ser>
        <c:ser>
          <c:idx val="2"/>
          <c:order val="2"/>
          <c:tx>
            <c:v>10 Year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'Rainfall Analysis (3)'!$M$47:$M$51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(3)'!$Q$47:$Q$51</c:f>
              <c:numCache>
                <c:formatCode>0.00</c:formatCode>
                <c:ptCount val="5"/>
                <c:pt idx="0">
                  <c:v>55.938390533473395</c:v>
                </c:pt>
                <c:pt idx="1">
                  <c:v>35.23897786518161</c:v>
                </c:pt>
                <c:pt idx="2">
                  <c:v>16.941133561376816</c:v>
                </c:pt>
                <c:pt idx="3">
                  <c:v>10.672245391529573</c:v>
                </c:pt>
                <c:pt idx="4">
                  <c:v>6.7230933092158303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8C-49D2-9C58-F891D631EFFB}"/>
            </c:ext>
          </c:extLst>
        </c:ser>
        <c:ser>
          <c:idx val="3"/>
          <c:order val="3"/>
          <c:tx>
            <c:v>50 Year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'Rainfall Analysis (3)'!$M$47:$M$51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(3)'!$R$47:$R$51</c:f>
              <c:numCache>
                <c:formatCode>0.00</c:formatCode>
                <c:ptCount val="5"/>
                <c:pt idx="0">
                  <c:v>75.471245423957924</c:v>
                </c:pt>
                <c:pt idx="1">
                  <c:v>47.543905385713337</c:v>
                </c:pt>
                <c:pt idx="2">
                  <c:v>22.856725704427049</c:v>
                </c:pt>
                <c:pt idx="3">
                  <c:v>14.398834923340427</c:v>
                </c:pt>
                <c:pt idx="4">
                  <c:v>9.0706976069390155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8C-49D2-9C58-F891D631EFFB}"/>
            </c:ext>
          </c:extLst>
        </c:ser>
        <c:ser>
          <c:idx val="4"/>
          <c:order val="4"/>
          <c:tx>
            <c:v>100 Year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'Rainfall Analysis (3)'!$M$47:$M$51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 (3)'!$S$47:$S$51</c:f>
              <c:numCache>
                <c:formatCode>0.00</c:formatCode>
                <c:ptCount val="5"/>
                <c:pt idx="0">
                  <c:v>83.728863772794909</c:v>
                </c:pt>
                <c:pt idx="1">
                  <c:v>52.745878975562277</c:v>
                </c:pt>
                <c:pt idx="2">
                  <c:v>25.357573762663755</c:v>
                </c:pt>
                <c:pt idx="3">
                  <c:v>15.974270478920998</c:v>
                </c:pt>
                <c:pt idx="4">
                  <c:v>10.063159816553409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8C-49D2-9C58-F891D631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139624"/>
        <c:axId val="701137104"/>
      </c:scatterChart>
      <c:valAx>
        <c:axId val="70113962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37104"/>
        <c:crosses val="autoZero"/>
        <c:crossBetween val="midCat"/>
      </c:valAx>
      <c:valAx>
        <c:axId val="7011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Intensity(mm/hr)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39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53911733542508"/>
          <c:y val="0.14861067366579175"/>
          <c:w val="0.23424220166737855"/>
          <c:h val="0.2587967337416156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3415394374673"/>
          <c:y val="0.13737037037037036"/>
          <c:w val="0.84962383673072694"/>
          <c:h val="0.70974657334499858"/>
        </c:manualLayout>
      </c:layout>
      <c:scatterChart>
        <c:scatterStyle val="smoothMarker"/>
        <c:varyColors val="0"/>
        <c:ser>
          <c:idx val="0"/>
          <c:order val="0"/>
          <c:tx>
            <c:v>2 Year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'Rainfall Analysis'!$M$53:$M$57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Analysis'!$O$53:$O$57</c:f>
              <c:numCache>
                <c:formatCode>0.00</c:formatCode>
                <c:ptCount val="5"/>
                <c:pt idx="0">
                  <c:v>33.658362974758717</c:v>
                </c:pt>
                <c:pt idx="1">
                  <c:v>21.203440008450361</c:v>
                </c:pt>
                <c:pt idx="2">
                  <c:v>10.193550747075484</c:v>
                </c:pt>
                <c:pt idx="3">
                  <c:v>6.4215345797060071</c:v>
                </c:pt>
                <c:pt idx="4">
                  <c:v>4.0453132947997128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40-4365-BEFD-5878FB156402}"/>
            </c:ext>
          </c:extLst>
        </c:ser>
        <c:ser>
          <c:idx val="1"/>
          <c:order val="1"/>
          <c:tx>
            <c:v>5 Year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'Rainfall Analysis'!$M$53:$M$57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Analysis'!$P$53:$P$57</c:f>
              <c:numCache>
                <c:formatCode>0.00</c:formatCode>
                <c:ptCount val="5"/>
                <c:pt idx="0">
                  <c:v>47.063213254064024</c:v>
                </c:pt>
                <c:pt idx="1">
                  <c:v>29.647966527243327</c:v>
                </c:pt>
                <c:pt idx="2">
                  <c:v>14.253255661468373</c:v>
                </c:pt>
                <c:pt idx="3">
                  <c:v>8.9789884187086368</c:v>
                </c:pt>
                <c:pt idx="4">
                  <c:v>5.6564082577466461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40-4365-BEFD-5878FB156402}"/>
            </c:ext>
          </c:extLst>
        </c:ser>
        <c:ser>
          <c:idx val="2"/>
          <c:order val="2"/>
          <c:tx>
            <c:v>10 Year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'Rainfall Analysis'!$M$53:$M$57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Analysis'!$Q$53:$Q$57</c:f>
              <c:numCache>
                <c:formatCode>0.00</c:formatCode>
                <c:ptCount val="5"/>
                <c:pt idx="0">
                  <c:v>55.938390533473395</c:v>
                </c:pt>
                <c:pt idx="1">
                  <c:v>35.23897786518161</c:v>
                </c:pt>
                <c:pt idx="2">
                  <c:v>16.941133561376816</c:v>
                </c:pt>
                <c:pt idx="3">
                  <c:v>10.672245391529573</c:v>
                </c:pt>
                <c:pt idx="4">
                  <c:v>6.7230933092158303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40-4365-BEFD-5878FB156402}"/>
            </c:ext>
          </c:extLst>
        </c:ser>
        <c:ser>
          <c:idx val="3"/>
          <c:order val="3"/>
          <c:tx>
            <c:v>50 Year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'Rainfall Analysis'!$M$53:$M$57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Analysis'!$R$53:$R$57</c:f>
              <c:numCache>
                <c:formatCode>0.00</c:formatCode>
                <c:ptCount val="5"/>
                <c:pt idx="0">
                  <c:v>75.471245423957924</c:v>
                </c:pt>
                <c:pt idx="1">
                  <c:v>47.543905385713337</c:v>
                </c:pt>
                <c:pt idx="2">
                  <c:v>22.856725704427049</c:v>
                </c:pt>
                <c:pt idx="3">
                  <c:v>14.398834923340427</c:v>
                </c:pt>
                <c:pt idx="4">
                  <c:v>9.0706976069390155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40-4365-BEFD-5878FB156402}"/>
            </c:ext>
          </c:extLst>
        </c:ser>
        <c:ser>
          <c:idx val="4"/>
          <c:order val="4"/>
          <c:tx>
            <c:v>100 Year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'Rainfall Analysis'!$M$53:$M$57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24</c:v>
                </c:pt>
              </c:numCache>
            </c:numRef>
          </c:xVal>
          <c:yVal>
            <c:numRef>
              <c:f>'Rainfall Analysis'!$S$53:$S$57</c:f>
              <c:numCache>
                <c:formatCode>0.00</c:formatCode>
                <c:ptCount val="5"/>
                <c:pt idx="0">
                  <c:v>83.728863772794909</c:v>
                </c:pt>
                <c:pt idx="1">
                  <c:v>52.745878975562277</c:v>
                </c:pt>
                <c:pt idx="2">
                  <c:v>25.357573762663755</c:v>
                </c:pt>
                <c:pt idx="3">
                  <c:v>15.974270478920998</c:v>
                </c:pt>
                <c:pt idx="4">
                  <c:v>10.063159816553409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40-4365-BEFD-5878FB156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139624"/>
        <c:axId val="701137104"/>
      </c:scatterChart>
      <c:valAx>
        <c:axId val="701139624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37104"/>
        <c:crosses val="autoZero"/>
        <c:crossBetween val="midCat"/>
      </c:valAx>
      <c:valAx>
        <c:axId val="7011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Intensity(mm/hr)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39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53911733542508"/>
          <c:y val="0.14861067366579175"/>
          <c:w val="0.23424220166737855"/>
          <c:h val="0.2587967337416156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85725</xdr:colOff>
      <xdr:row>10</xdr:row>
      <xdr:rowOff>76200</xdr:rowOff>
    </xdr:from>
    <xdr:to>
      <xdr:col>26</xdr:col>
      <xdr:colOff>465811</xdr:colOff>
      <xdr:row>24</xdr:row>
      <xdr:rowOff>114012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CFB95-16D8-4EEE-B49C-32185BAE7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0" y="1876425"/>
          <a:ext cx="7314286" cy="230476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26</xdr:col>
      <xdr:colOff>56343</xdr:colOff>
      <xdr:row>37</xdr:row>
      <xdr:rowOff>37913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D8925D-86E5-4AD4-B1C8-0B569B02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2125" y="4714875"/>
          <a:ext cx="6457143" cy="14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38</xdr:row>
      <xdr:rowOff>95250</xdr:rowOff>
    </xdr:from>
    <xdr:to>
      <xdr:col>4</xdr:col>
      <xdr:colOff>209550</xdr:colOff>
      <xdr:row>44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5B84B-3CD5-4AA0-8F0B-97A93F9A0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6486525"/>
          <a:ext cx="34861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238126</xdr:colOff>
      <xdr:row>45</xdr:row>
      <xdr:rowOff>38100</xdr:rowOff>
    </xdr:from>
    <xdr:to>
      <xdr:col>3</xdr:col>
      <xdr:colOff>323851</xdr:colOff>
      <xdr:row>50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835AE4-B088-42E2-A12C-10819D14F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6" y="7934325"/>
          <a:ext cx="2381250" cy="1009650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51</xdr:row>
      <xdr:rowOff>104775</xdr:rowOff>
    </xdr:from>
    <xdr:to>
      <xdr:col>11</xdr:col>
      <xdr:colOff>333375</xdr:colOff>
      <xdr:row>81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2D2E7C-2505-4441-B775-05DD772DD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</xdr:colOff>
      <xdr:row>52</xdr:row>
      <xdr:rowOff>28575</xdr:rowOff>
    </xdr:from>
    <xdr:to>
      <xdr:col>23</xdr:col>
      <xdr:colOff>142875</xdr:colOff>
      <xdr:row>80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6258E9-B434-4553-8A16-01388ED57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42</xdr:row>
      <xdr:rowOff>152400</xdr:rowOff>
    </xdr:from>
    <xdr:to>
      <xdr:col>11</xdr:col>
      <xdr:colOff>66675</xdr:colOff>
      <xdr:row>48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45280E-507A-481A-A958-E088E1DA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8625" y="6191250"/>
          <a:ext cx="3486150" cy="1304925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533401</xdr:colOff>
      <xdr:row>50</xdr:row>
      <xdr:rowOff>19050</xdr:rowOff>
    </xdr:from>
    <xdr:to>
      <xdr:col>10</xdr:col>
      <xdr:colOff>28576</xdr:colOff>
      <xdr:row>55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EC6CBD-0F9C-465B-A4AF-2F37808A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6" y="7724775"/>
          <a:ext cx="2381250" cy="1009650"/>
        </a:xfrm>
        <a:prstGeom prst="rect">
          <a:avLst/>
        </a:prstGeom>
      </xdr:spPr>
    </xdr:pic>
    <xdr:clientData/>
  </xdr:twoCellAnchor>
  <xdr:twoCellAnchor>
    <xdr:from>
      <xdr:col>12</xdr:col>
      <xdr:colOff>52387</xdr:colOff>
      <xdr:row>58</xdr:row>
      <xdr:rowOff>28575</xdr:rowOff>
    </xdr:from>
    <xdr:to>
      <xdr:col>23</xdr:col>
      <xdr:colOff>142875</xdr:colOff>
      <xdr:row>86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FFE773-5AAF-550A-C2E0-F4741603C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65645</xdr:colOff>
      <xdr:row>0</xdr:row>
      <xdr:rowOff>1091</xdr:rowOff>
    </xdr:from>
    <xdr:ext cx="386715" cy="0"/>
    <xdr:sp macro="" textlink="">
      <xdr:nvSpPr>
        <xdr:cNvPr id="2" name="Shape 601">
          <a:extLst>
            <a:ext uri="{FF2B5EF4-FFF2-40B4-BE49-F238E27FC236}">
              <a16:creationId xmlns:a16="http://schemas.microsoft.com/office/drawing/2014/main" id="{80424D12-AA47-4DC2-8D06-E24AB8014AD2}"/>
            </a:ext>
          </a:extLst>
        </xdr:cNvPr>
        <xdr:cNvSpPr/>
      </xdr:nvSpPr>
      <xdr:spPr>
        <a:xfrm>
          <a:off x="5237720" y="364018016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22465</xdr:colOff>
      <xdr:row>0</xdr:row>
      <xdr:rowOff>266030</xdr:rowOff>
    </xdr:from>
    <xdr:ext cx="386715" cy="0"/>
    <xdr:sp macro="" textlink="">
      <xdr:nvSpPr>
        <xdr:cNvPr id="3" name="Shape 602">
          <a:extLst>
            <a:ext uri="{FF2B5EF4-FFF2-40B4-BE49-F238E27FC236}">
              <a16:creationId xmlns:a16="http://schemas.microsoft.com/office/drawing/2014/main" id="{BBCE562F-BB8B-46F4-B588-07F63C265CC4}"/>
            </a:ext>
          </a:extLst>
        </xdr:cNvPr>
        <xdr:cNvSpPr/>
      </xdr:nvSpPr>
      <xdr:spPr>
        <a:xfrm>
          <a:off x="5194540" y="364282955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22904</xdr:colOff>
      <xdr:row>0</xdr:row>
      <xdr:rowOff>251772</xdr:rowOff>
    </xdr:from>
    <xdr:ext cx="386715" cy="0"/>
    <xdr:sp macro="" textlink="">
      <xdr:nvSpPr>
        <xdr:cNvPr id="2" name="Shape 598">
          <a:extLst>
            <a:ext uri="{FF2B5EF4-FFF2-40B4-BE49-F238E27FC236}">
              <a16:creationId xmlns:a16="http://schemas.microsoft.com/office/drawing/2014/main" id="{C8198562-8E14-4081-80A8-7980A12B4802}"/>
            </a:ext>
          </a:extLst>
        </xdr:cNvPr>
        <xdr:cNvSpPr/>
      </xdr:nvSpPr>
      <xdr:spPr>
        <a:xfrm>
          <a:off x="5194979" y="357944097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22904</xdr:colOff>
      <xdr:row>1</xdr:row>
      <xdr:rowOff>2361</xdr:rowOff>
    </xdr:from>
    <xdr:ext cx="386715" cy="0"/>
    <xdr:sp macro="" textlink="">
      <xdr:nvSpPr>
        <xdr:cNvPr id="3" name="Shape 599">
          <a:extLst>
            <a:ext uri="{FF2B5EF4-FFF2-40B4-BE49-F238E27FC236}">
              <a16:creationId xmlns:a16="http://schemas.microsoft.com/office/drawing/2014/main" id="{BDFA4EA1-327F-4FFA-9606-C811D063D6DD}"/>
            </a:ext>
          </a:extLst>
        </xdr:cNvPr>
        <xdr:cNvSpPr/>
      </xdr:nvSpPr>
      <xdr:spPr>
        <a:xfrm>
          <a:off x="5194979" y="358209036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56107</xdr:colOff>
      <xdr:row>0</xdr:row>
      <xdr:rowOff>248756</xdr:rowOff>
    </xdr:from>
    <xdr:ext cx="386715" cy="0"/>
    <xdr:sp macro="" textlink="">
      <xdr:nvSpPr>
        <xdr:cNvPr id="10" name="Shape 581">
          <a:extLst>
            <a:ext uri="{FF2B5EF4-FFF2-40B4-BE49-F238E27FC236}">
              <a16:creationId xmlns:a16="http://schemas.microsoft.com/office/drawing/2014/main" id="{61CD5A8E-1C62-43D0-A19F-F3597162F94C}"/>
            </a:ext>
          </a:extLst>
        </xdr:cNvPr>
        <xdr:cNvSpPr/>
      </xdr:nvSpPr>
      <xdr:spPr>
        <a:xfrm>
          <a:off x="4770982" y="344434631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9</xdr:col>
      <xdr:colOff>52387</xdr:colOff>
      <xdr:row>0</xdr:row>
      <xdr:rowOff>248756</xdr:rowOff>
    </xdr:from>
    <xdr:ext cx="385445" cy="0"/>
    <xdr:sp macro="" textlink="">
      <xdr:nvSpPr>
        <xdr:cNvPr id="11" name="Shape 582">
          <a:extLst>
            <a:ext uri="{FF2B5EF4-FFF2-40B4-BE49-F238E27FC236}">
              <a16:creationId xmlns:a16="http://schemas.microsoft.com/office/drawing/2014/main" id="{E52452F1-BDC1-4AEF-B819-3232E5B81DB2}"/>
            </a:ext>
          </a:extLst>
        </xdr:cNvPr>
        <xdr:cNvSpPr/>
      </xdr:nvSpPr>
      <xdr:spPr>
        <a:xfrm>
          <a:off x="5672137" y="344434631"/>
          <a:ext cx="385445" cy="0"/>
        </a:xfrm>
        <a:custGeom>
          <a:avLst/>
          <a:gdLst/>
          <a:ahLst/>
          <a:cxnLst/>
          <a:rect l="0" t="0" r="0" b="0"/>
          <a:pathLst>
            <a:path w="385445">
              <a:moveTo>
                <a:pt x="0" y="0"/>
              </a:moveTo>
              <a:lnTo>
                <a:pt x="385439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22766</xdr:colOff>
      <xdr:row>0</xdr:row>
      <xdr:rowOff>266045</xdr:rowOff>
    </xdr:from>
    <xdr:ext cx="386715" cy="0"/>
    <xdr:sp macro="" textlink="">
      <xdr:nvSpPr>
        <xdr:cNvPr id="12" name="Shape 583">
          <a:extLst>
            <a:ext uri="{FF2B5EF4-FFF2-40B4-BE49-F238E27FC236}">
              <a16:creationId xmlns:a16="http://schemas.microsoft.com/office/drawing/2014/main" id="{BDC0D983-5CF2-4984-85AC-7191D8F4C551}"/>
            </a:ext>
          </a:extLst>
        </xdr:cNvPr>
        <xdr:cNvSpPr/>
      </xdr:nvSpPr>
      <xdr:spPr>
        <a:xfrm>
          <a:off x="4737641" y="344699570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9</xdr:col>
      <xdr:colOff>23078</xdr:colOff>
      <xdr:row>0</xdr:row>
      <xdr:rowOff>266045</xdr:rowOff>
    </xdr:from>
    <xdr:ext cx="385445" cy="0"/>
    <xdr:sp macro="" textlink="">
      <xdr:nvSpPr>
        <xdr:cNvPr id="13" name="Shape 584">
          <a:extLst>
            <a:ext uri="{FF2B5EF4-FFF2-40B4-BE49-F238E27FC236}">
              <a16:creationId xmlns:a16="http://schemas.microsoft.com/office/drawing/2014/main" id="{27B097D2-6DDE-4CC8-99BD-4D2F4E8B8FF0}"/>
            </a:ext>
          </a:extLst>
        </xdr:cNvPr>
        <xdr:cNvSpPr/>
      </xdr:nvSpPr>
      <xdr:spPr>
        <a:xfrm>
          <a:off x="5642828" y="344699570"/>
          <a:ext cx="385445" cy="0"/>
        </a:xfrm>
        <a:custGeom>
          <a:avLst/>
          <a:gdLst/>
          <a:ahLst/>
          <a:cxnLst/>
          <a:rect l="0" t="0" r="0" b="0"/>
          <a:pathLst>
            <a:path w="385445">
              <a:moveTo>
                <a:pt x="0" y="0"/>
              </a:moveTo>
              <a:lnTo>
                <a:pt x="385439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22766</xdr:colOff>
      <xdr:row>31</xdr:row>
      <xdr:rowOff>212218</xdr:rowOff>
    </xdr:from>
    <xdr:ext cx="386715" cy="0"/>
    <xdr:sp macro="" textlink="">
      <xdr:nvSpPr>
        <xdr:cNvPr id="14" name="Shape 585">
          <a:extLst>
            <a:ext uri="{FF2B5EF4-FFF2-40B4-BE49-F238E27FC236}">
              <a16:creationId xmlns:a16="http://schemas.microsoft.com/office/drawing/2014/main" id="{F81C2CCE-BB25-4CE9-B676-40EE55B20533}"/>
            </a:ext>
          </a:extLst>
        </xdr:cNvPr>
        <xdr:cNvSpPr/>
      </xdr:nvSpPr>
      <xdr:spPr>
        <a:xfrm>
          <a:off x="4737641" y="349522543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9</xdr:col>
      <xdr:colOff>23078</xdr:colOff>
      <xdr:row>31</xdr:row>
      <xdr:rowOff>212218</xdr:rowOff>
    </xdr:from>
    <xdr:ext cx="385445" cy="0"/>
    <xdr:sp macro="" textlink="">
      <xdr:nvSpPr>
        <xdr:cNvPr id="15" name="Shape 586">
          <a:extLst>
            <a:ext uri="{FF2B5EF4-FFF2-40B4-BE49-F238E27FC236}">
              <a16:creationId xmlns:a16="http://schemas.microsoft.com/office/drawing/2014/main" id="{F6313D6A-02CC-4FE2-8486-754391464079}"/>
            </a:ext>
          </a:extLst>
        </xdr:cNvPr>
        <xdr:cNvSpPr/>
      </xdr:nvSpPr>
      <xdr:spPr>
        <a:xfrm>
          <a:off x="5642828" y="349522543"/>
          <a:ext cx="385445" cy="0"/>
        </a:xfrm>
        <a:custGeom>
          <a:avLst/>
          <a:gdLst/>
          <a:ahLst/>
          <a:cxnLst/>
          <a:rect l="0" t="0" r="0" b="0"/>
          <a:pathLst>
            <a:path w="385445">
              <a:moveTo>
                <a:pt x="0" y="0"/>
              </a:moveTo>
              <a:lnTo>
                <a:pt x="385439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7</xdr:col>
      <xdr:colOff>22766</xdr:colOff>
      <xdr:row>35</xdr:row>
      <xdr:rowOff>421000</xdr:rowOff>
    </xdr:from>
    <xdr:ext cx="386715" cy="0"/>
    <xdr:sp macro="" textlink="">
      <xdr:nvSpPr>
        <xdr:cNvPr id="16" name="Shape 587">
          <a:extLst>
            <a:ext uri="{FF2B5EF4-FFF2-40B4-BE49-F238E27FC236}">
              <a16:creationId xmlns:a16="http://schemas.microsoft.com/office/drawing/2014/main" id="{A7A31362-E361-4D18-BFD1-44459CB7626D}"/>
            </a:ext>
          </a:extLst>
        </xdr:cNvPr>
        <xdr:cNvSpPr/>
      </xdr:nvSpPr>
      <xdr:spPr>
        <a:xfrm>
          <a:off x="4737641" y="350598100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9</xdr:col>
      <xdr:colOff>23078</xdr:colOff>
      <xdr:row>35</xdr:row>
      <xdr:rowOff>421000</xdr:rowOff>
    </xdr:from>
    <xdr:ext cx="385445" cy="0"/>
    <xdr:sp macro="" textlink="">
      <xdr:nvSpPr>
        <xdr:cNvPr id="17" name="Shape 588">
          <a:extLst>
            <a:ext uri="{FF2B5EF4-FFF2-40B4-BE49-F238E27FC236}">
              <a16:creationId xmlns:a16="http://schemas.microsoft.com/office/drawing/2014/main" id="{CCDBDAE2-9573-4B0F-AFB2-AC04245454D8}"/>
            </a:ext>
          </a:extLst>
        </xdr:cNvPr>
        <xdr:cNvSpPr/>
      </xdr:nvSpPr>
      <xdr:spPr>
        <a:xfrm>
          <a:off x="5642828" y="350598100"/>
          <a:ext cx="385445" cy="0"/>
        </a:xfrm>
        <a:custGeom>
          <a:avLst/>
          <a:gdLst/>
          <a:ahLst/>
          <a:cxnLst/>
          <a:rect l="0" t="0" r="0" b="0"/>
          <a:pathLst>
            <a:path w="385445">
              <a:moveTo>
                <a:pt x="0" y="0"/>
              </a:moveTo>
              <a:lnTo>
                <a:pt x="385439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248756</xdr:rowOff>
    </xdr:from>
    <xdr:ext cx="386715" cy="0"/>
    <xdr:sp macro="" textlink="">
      <xdr:nvSpPr>
        <xdr:cNvPr id="2" name="Shape 577">
          <a:extLst>
            <a:ext uri="{FF2B5EF4-FFF2-40B4-BE49-F238E27FC236}">
              <a16:creationId xmlns:a16="http://schemas.microsoft.com/office/drawing/2014/main" id="{52DE8AD9-AFAA-4AF3-BDB7-E729113192F7}"/>
            </a:ext>
          </a:extLst>
        </xdr:cNvPr>
        <xdr:cNvSpPr/>
      </xdr:nvSpPr>
      <xdr:spPr>
        <a:xfrm>
          <a:off x="5166927" y="337690931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0</xdr:row>
      <xdr:rowOff>266045</xdr:rowOff>
    </xdr:from>
    <xdr:ext cx="386715" cy="0"/>
    <xdr:sp macro="" textlink="">
      <xdr:nvSpPr>
        <xdr:cNvPr id="3" name="Shape 578">
          <a:extLst>
            <a:ext uri="{FF2B5EF4-FFF2-40B4-BE49-F238E27FC236}">
              <a16:creationId xmlns:a16="http://schemas.microsoft.com/office/drawing/2014/main" id="{F8B8BF05-1F0B-43E5-8AD6-2ADCDE70DD45}"/>
            </a:ext>
          </a:extLst>
        </xdr:cNvPr>
        <xdr:cNvSpPr/>
      </xdr:nvSpPr>
      <xdr:spPr>
        <a:xfrm>
          <a:off x="5128319" y="337955870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31</xdr:row>
      <xdr:rowOff>212218</xdr:rowOff>
    </xdr:from>
    <xdr:ext cx="386715" cy="0"/>
    <xdr:sp macro="" textlink="">
      <xdr:nvSpPr>
        <xdr:cNvPr id="4" name="Shape 579">
          <a:extLst>
            <a:ext uri="{FF2B5EF4-FFF2-40B4-BE49-F238E27FC236}">
              <a16:creationId xmlns:a16="http://schemas.microsoft.com/office/drawing/2014/main" id="{751B8D9C-B3D2-46F0-B7A1-D99F43CDC763}"/>
            </a:ext>
          </a:extLst>
        </xdr:cNvPr>
        <xdr:cNvSpPr/>
      </xdr:nvSpPr>
      <xdr:spPr>
        <a:xfrm>
          <a:off x="5128319" y="342778843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  <xdr:oneCellAnchor>
    <xdr:from>
      <xdr:col>8</xdr:col>
      <xdr:colOff>0</xdr:colOff>
      <xdr:row>35</xdr:row>
      <xdr:rowOff>421000</xdr:rowOff>
    </xdr:from>
    <xdr:ext cx="386715" cy="0"/>
    <xdr:sp macro="" textlink="">
      <xdr:nvSpPr>
        <xdr:cNvPr id="5" name="Shape 580">
          <a:extLst>
            <a:ext uri="{FF2B5EF4-FFF2-40B4-BE49-F238E27FC236}">
              <a16:creationId xmlns:a16="http://schemas.microsoft.com/office/drawing/2014/main" id="{99D5910C-E564-4EA9-A570-5427D861C613}"/>
            </a:ext>
          </a:extLst>
        </xdr:cNvPr>
        <xdr:cNvSpPr/>
      </xdr:nvSpPr>
      <xdr:spPr>
        <a:xfrm>
          <a:off x="5128319" y="343854400"/>
          <a:ext cx="386715" cy="0"/>
        </a:xfrm>
        <a:custGeom>
          <a:avLst/>
          <a:gdLst/>
          <a:ahLst/>
          <a:cxnLst/>
          <a:rect l="0" t="0" r="0" b="0"/>
          <a:pathLst>
            <a:path w="386715">
              <a:moveTo>
                <a:pt x="0" y="0"/>
              </a:moveTo>
              <a:lnTo>
                <a:pt x="386506" y="0"/>
              </a:lnTo>
            </a:path>
          </a:pathLst>
        </a:custGeom>
        <a:ln w="9387">
          <a:solidFill>
            <a:srgbClr val="000000"/>
          </a:solidFill>
          <a:prstDash val="dash"/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139228</xdr:rowOff>
    </xdr:from>
    <xdr:ext cx="610235" cy="0"/>
    <xdr:sp macro="" textlink="">
      <xdr:nvSpPr>
        <xdr:cNvPr id="2" name="Shape 280">
          <a:extLst>
            <a:ext uri="{FF2B5EF4-FFF2-40B4-BE49-F238E27FC236}">
              <a16:creationId xmlns:a16="http://schemas.microsoft.com/office/drawing/2014/main" id="{2B123F89-813A-4A82-94E8-020A5B65FC18}"/>
            </a:ext>
          </a:extLst>
        </xdr:cNvPr>
        <xdr:cNvSpPr/>
      </xdr:nvSpPr>
      <xdr:spPr>
        <a:xfrm>
          <a:off x="1389946" y="122954578"/>
          <a:ext cx="610235" cy="0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945" y="0"/>
              </a:lnTo>
            </a:path>
          </a:pathLst>
        </a:custGeom>
        <a:ln w="11765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48974</xdr:colOff>
      <xdr:row>38</xdr:row>
      <xdr:rowOff>151928</xdr:rowOff>
    </xdr:from>
    <xdr:ext cx="375920" cy="0"/>
    <xdr:sp macro="" textlink="">
      <xdr:nvSpPr>
        <xdr:cNvPr id="3" name="Shape 281">
          <a:extLst>
            <a:ext uri="{FF2B5EF4-FFF2-40B4-BE49-F238E27FC236}">
              <a16:creationId xmlns:a16="http://schemas.microsoft.com/office/drawing/2014/main" id="{160147E4-213A-4DE8-83C6-844035BCE62E}"/>
            </a:ext>
          </a:extLst>
        </xdr:cNvPr>
        <xdr:cNvSpPr/>
      </xdr:nvSpPr>
      <xdr:spPr>
        <a:xfrm>
          <a:off x="2077799" y="122967278"/>
          <a:ext cx="375920" cy="0"/>
        </a:xfrm>
        <a:custGeom>
          <a:avLst/>
          <a:gdLst/>
          <a:ahLst/>
          <a:cxnLst/>
          <a:rect l="0" t="0" r="0" b="0"/>
          <a:pathLst>
            <a:path w="375920">
              <a:moveTo>
                <a:pt x="0" y="0"/>
              </a:moveTo>
              <a:lnTo>
                <a:pt x="375921" y="0"/>
              </a:lnTo>
            </a:path>
          </a:pathLst>
        </a:custGeom>
        <a:ln w="11765">
          <a:solidFill>
            <a:srgbClr val="101010"/>
          </a:solidFill>
          <a:prstDash val="dash"/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38</xdr:row>
      <xdr:rowOff>139232</xdr:rowOff>
    </xdr:from>
    <xdr:ext cx="610235" cy="0"/>
    <xdr:sp macro="" textlink="">
      <xdr:nvSpPr>
        <xdr:cNvPr id="2" name="Shape 267">
          <a:extLst>
            <a:ext uri="{FF2B5EF4-FFF2-40B4-BE49-F238E27FC236}">
              <a16:creationId xmlns:a16="http://schemas.microsoft.com/office/drawing/2014/main" id="{92C12EE9-A6C7-4A67-8FDF-77195FDAF54B}"/>
            </a:ext>
          </a:extLst>
        </xdr:cNvPr>
        <xdr:cNvSpPr/>
      </xdr:nvSpPr>
      <xdr:spPr>
        <a:xfrm>
          <a:off x="1389946" y="102542507"/>
          <a:ext cx="610235" cy="0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945" y="0"/>
              </a:lnTo>
            </a:path>
          </a:pathLst>
        </a:custGeom>
        <a:ln w="11765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48974</xdr:colOff>
      <xdr:row>38</xdr:row>
      <xdr:rowOff>151932</xdr:rowOff>
    </xdr:from>
    <xdr:ext cx="375920" cy="0"/>
    <xdr:sp macro="" textlink="">
      <xdr:nvSpPr>
        <xdr:cNvPr id="3" name="Shape 268">
          <a:extLst>
            <a:ext uri="{FF2B5EF4-FFF2-40B4-BE49-F238E27FC236}">
              <a16:creationId xmlns:a16="http://schemas.microsoft.com/office/drawing/2014/main" id="{4F24B836-CC2B-46BB-9D82-1DA0E08A2E11}"/>
            </a:ext>
          </a:extLst>
        </xdr:cNvPr>
        <xdr:cNvSpPr/>
      </xdr:nvSpPr>
      <xdr:spPr>
        <a:xfrm>
          <a:off x="2077799" y="102555207"/>
          <a:ext cx="375920" cy="0"/>
        </a:xfrm>
        <a:custGeom>
          <a:avLst/>
          <a:gdLst/>
          <a:ahLst/>
          <a:cxnLst/>
          <a:rect l="0" t="0" r="0" b="0"/>
          <a:pathLst>
            <a:path w="375920">
              <a:moveTo>
                <a:pt x="0" y="0"/>
              </a:moveTo>
              <a:lnTo>
                <a:pt x="375921" y="0"/>
              </a:lnTo>
            </a:path>
          </a:pathLst>
        </a:custGeom>
        <a:ln w="11765">
          <a:solidFill>
            <a:srgbClr val="101010"/>
          </a:solidFill>
          <a:prstDash val="dash"/>
        </a:ln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38</xdr:row>
      <xdr:rowOff>150492</xdr:rowOff>
    </xdr:from>
    <xdr:ext cx="1035050" cy="19050"/>
    <xdr:grpSp>
      <xdr:nvGrpSpPr>
        <xdr:cNvPr id="2" name="Group 190">
          <a:extLst>
            <a:ext uri="{FF2B5EF4-FFF2-40B4-BE49-F238E27FC236}">
              <a16:creationId xmlns:a16="http://schemas.microsoft.com/office/drawing/2014/main" id="{95751F72-E3C0-4902-85F2-555520EFCABC}"/>
            </a:ext>
          </a:extLst>
        </xdr:cNvPr>
        <xdr:cNvGrpSpPr/>
      </xdr:nvGrpSpPr>
      <xdr:grpSpPr>
        <a:xfrm>
          <a:off x="2657475" y="7427592"/>
          <a:ext cx="1035050" cy="19050"/>
          <a:chOff x="0" y="0"/>
          <a:chExt cx="1035050" cy="19050"/>
        </a:xfrm>
      </xdr:grpSpPr>
      <xdr:sp macro="" textlink="">
        <xdr:nvSpPr>
          <xdr:cNvPr id="3" name="Shape 191">
            <a:extLst>
              <a:ext uri="{FF2B5EF4-FFF2-40B4-BE49-F238E27FC236}">
                <a16:creationId xmlns:a16="http://schemas.microsoft.com/office/drawing/2014/main" id="{60262104-F1CA-7256-94E0-749C38B38687}"/>
              </a:ext>
            </a:extLst>
          </xdr:cNvPr>
          <xdr:cNvSpPr/>
        </xdr:nvSpPr>
        <xdr:spPr>
          <a:xfrm>
            <a:off x="0" y="14191"/>
            <a:ext cx="650240" cy="0"/>
          </a:xfrm>
          <a:custGeom>
            <a:avLst/>
            <a:gdLst/>
            <a:ahLst/>
            <a:cxnLst/>
            <a:rect l="0" t="0" r="0" b="0"/>
            <a:pathLst>
              <a:path w="650240">
                <a:moveTo>
                  <a:pt x="0" y="0"/>
                </a:moveTo>
                <a:lnTo>
                  <a:pt x="650242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 macro="" textlink="">
        <xdr:nvSpPr>
          <xdr:cNvPr id="4" name="Shape 192">
            <a:extLst>
              <a:ext uri="{FF2B5EF4-FFF2-40B4-BE49-F238E27FC236}">
                <a16:creationId xmlns:a16="http://schemas.microsoft.com/office/drawing/2014/main" id="{9BFCBD87-6D72-5223-A871-6138F32C45F1}"/>
              </a:ext>
            </a:extLst>
          </xdr:cNvPr>
          <xdr:cNvSpPr/>
        </xdr:nvSpPr>
        <xdr:spPr>
          <a:xfrm>
            <a:off x="658986" y="5882"/>
            <a:ext cx="375920" cy="0"/>
          </a:xfrm>
          <a:custGeom>
            <a:avLst/>
            <a:gdLst/>
            <a:ahLst/>
            <a:cxnLst/>
            <a:rect l="0" t="0" r="0" b="0"/>
            <a:pathLst>
              <a:path w="375920">
                <a:moveTo>
                  <a:pt x="0" y="0"/>
                </a:moveTo>
                <a:lnTo>
                  <a:pt x="375921" y="0"/>
                </a:lnTo>
              </a:path>
            </a:pathLst>
          </a:custGeom>
          <a:ln w="11765">
            <a:solidFill>
              <a:srgbClr val="000000"/>
            </a:solidFill>
            <a:prstDash val="dash"/>
          </a:ln>
        </xdr:spPr>
      </xdr:sp>
    </xdr:grp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38</xdr:row>
      <xdr:rowOff>135890</xdr:rowOff>
    </xdr:from>
    <xdr:ext cx="1037590" cy="19050"/>
    <xdr:grpSp>
      <xdr:nvGrpSpPr>
        <xdr:cNvPr id="2" name="Group 136">
          <a:extLst>
            <a:ext uri="{FF2B5EF4-FFF2-40B4-BE49-F238E27FC236}">
              <a16:creationId xmlns:a16="http://schemas.microsoft.com/office/drawing/2014/main" id="{49DBF355-2D47-4D51-9789-99FA3936ADB7}"/>
            </a:ext>
          </a:extLst>
        </xdr:cNvPr>
        <xdr:cNvGrpSpPr/>
      </xdr:nvGrpSpPr>
      <xdr:grpSpPr>
        <a:xfrm>
          <a:off x="2647950" y="7260590"/>
          <a:ext cx="1037590" cy="19050"/>
          <a:chOff x="0" y="0"/>
          <a:chExt cx="1037590" cy="19050"/>
        </a:xfrm>
      </xdr:grpSpPr>
      <xdr:sp macro="" textlink="">
        <xdr:nvSpPr>
          <xdr:cNvPr id="3" name="Shape 137">
            <a:extLst>
              <a:ext uri="{FF2B5EF4-FFF2-40B4-BE49-F238E27FC236}">
                <a16:creationId xmlns:a16="http://schemas.microsoft.com/office/drawing/2014/main" id="{0194C205-F397-269D-9EB2-594625AC7FA6}"/>
              </a:ext>
            </a:extLst>
          </xdr:cNvPr>
          <xdr:cNvSpPr/>
        </xdr:nvSpPr>
        <xdr:spPr>
          <a:xfrm>
            <a:off x="0" y="14191"/>
            <a:ext cx="638175" cy="0"/>
          </a:xfrm>
          <a:custGeom>
            <a:avLst/>
            <a:gdLst/>
            <a:ahLst/>
            <a:cxnLst/>
            <a:rect l="0" t="0" r="0" b="0"/>
            <a:pathLst>
              <a:path w="638175">
                <a:moveTo>
                  <a:pt x="0" y="0"/>
                </a:moveTo>
                <a:lnTo>
                  <a:pt x="638031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 macro="" textlink="">
        <xdr:nvSpPr>
          <xdr:cNvPr id="4" name="Shape 138">
            <a:extLst>
              <a:ext uri="{FF2B5EF4-FFF2-40B4-BE49-F238E27FC236}">
                <a16:creationId xmlns:a16="http://schemas.microsoft.com/office/drawing/2014/main" id="{5A33E284-8810-ED6F-468D-661596809654}"/>
              </a:ext>
            </a:extLst>
          </xdr:cNvPr>
          <xdr:cNvSpPr/>
        </xdr:nvSpPr>
        <xdr:spPr>
          <a:xfrm>
            <a:off x="655933" y="5882"/>
            <a:ext cx="381635" cy="0"/>
          </a:xfrm>
          <a:custGeom>
            <a:avLst/>
            <a:gdLst/>
            <a:ahLst/>
            <a:cxnLst/>
            <a:rect l="0" t="0" r="0" b="0"/>
            <a:pathLst>
              <a:path w="381635">
                <a:moveTo>
                  <a:pt x="0" y="0"/>
                </a:moveTo>
                <a:lnTo>
                  <a:pt x="381216" y="0"/>
                </a:lnTo>
              </a:path>
            </a:pathLst>
          </a:custGeom>
          <a:ln w="11765">
            <a:solidFill>
              <a:srgbClr val="000000"/>
            </a:solidFill>
            <a:prstDash val="dash"/>
          </a:ln>
        </xdr:spPr>
      </xdr:sp>
    </xdr:grp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39</xdr:row>
      <xdr:rowOff>135891</xdr:rowOff>
    </xdr:from>
    <xdr:ext cx="1037590" cy="19050"/>
    <xdr:grpSp>
      <xdr:nvGrpSpPr>
        <xdr:cNvPr id="2" name="Group 110">
          <a:extLst>
            <a:ext uri="{FF2B5EF4-FFF2-40B4-BE49-F238E27FC236}">
              <a16:creationId xmlns:a16="http://schemas.microsoft.com/office/drawing/2014/main" id="{260E1C7D-0729-40EA-A9A4-311F651A0E45}"/>
            </a:ext>
          </a:extLst>
        </xdr:cNvPr>
        <xdr:cNvGrpSpPr/>
      </xdr:nvGrpSpPr>
      <xdr:grpSpPr>
        <a:xfrm>
          <a:off x="2400300" y="6870066"/>
          <a:ext cx="1037590" cy="19050"/>
          <a:chOff x="0" y="0"/>
          <a:chExt cx="1037590" cy="19050"/>
        </a:xfrm>
      </xdr:grpSpPr>
      <xdr:sp macro="" textlink="">
        <xdr:nvSpPr>
          <xdr:cNvPr id="3" name="Shape 111">
            <a:extLst>
              <a:ext uri="{FF2B5EF4-FFF2-40B4-BE49-F238E27FC236}">
                <a16:creationId xmlns:a16="http://schemas.microsoft.com/office/drawing/2014/main" id="{2D28133D-91E2-9097-77AE-970EE90C483B}"/>
              </a:ext>
            </a:extLst>
          </xdr:cNvPr>
          <xdr:cNvSpPr/>
        </xdr:nvSpPr>
        <xdr:spPr>
          <a:xfrm>
            <a:off x="0" y="14191"/>
            <a:ext cx="638175" cy="0"/>
          </a:xfrm>
          <a:custGeom>
            <a:avLst/>
            <a:gdLst/>
            <a:ahLst/>
            <a:cxnLst/>
            <a:rect l="0" t="0" r="0" b="0"/>
            <a:pathLst>
              <a:path w="638175">
                <a:moveTo>
                  <a:pt x="0" y="0"/>
                </a:moveTo>
                <a:lnTo>
                  <a:pt x="638031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 macro="" textlink="">
        <xdr:nvSpPr>
          <xdr:cNvPr id="4" name="Shape 112">
            <a:extLst>
              <a:ext uri="{FF2B5EF4-FFF2-40B4-BE49-F238E27FC236}">
                <a16:creationId xmlns:a16="http://schemas.microsoft.com/office/drawing/2014/main" id="{933E544B-CD52-77A2-2818-79B99A631A33}"/>
              </a:ext>
            </a:extLst>
          </xdr:cNvPr>
          <xdr:cNvSpPr/>
        </xdr:nvSpPr>
        <xdr:spPr>
          <a:xfrm>
            <a:off x="655933" y="5882"/>
            <a:ext cx="381635" cy="0"/>
          </a:xfrm>
          <a:custGeom>
            <a:avLst/>
            <a:gdLst/>
            <a:ahLst/>
            <a:cxnLst/>
            <a:rect l="0" t="0" r="0" b="0"/>
            <a:pathLst>
              <a:path w="381635">
                <a:moveTo>
                  <a:pt x="0" y="0"/>
                </a:moveTo>
                <a:lnTo>
                  <a:pt x="381216" y="0"/>
                </a:lnTo>
              </a:path>
            </a:pathLst>
          </a:custGeom>
          <a:ln w="11765">
            <a:solidFill>
              <a:srgbClr val="000000"/>
            </a:solidFill>
            <a:prstDash val="dash"/>
          </a:ln>
        </xdr:spPr>
      </xdr:sp>
    </xdr:grp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39</xdr:row>
      <xdr:rowOff>142239</xdr:rowOff>
    </xdr:from>
    <xdr:ext cx="1037590" cy="19050"/>
    <xdr:grpSp>
      <xdr:nvGrpSpPr>
        <xdr:cNvPr id="2" name="Group 84">
          <a:extLst>
            <a:ext uri="{FF2B5EF4-FFF2-40B4-BE49-F238E27FC236}">
              <a16:creationId xmlns:a16="http://schemas.microsoft.com/office/drawing/2014/main" id="{3C6ECCCE-5066-43D4-B0C4-597180CF0EC6}"/>
            </a:ext>
          </a:extLst>
        </xdr:cNvPr>
        <xdr:cNvGrpSpPr/>
      </xdr:nvGrpSpPr>
      <xdr:grpSpPr>
        <a:xfrm>
          <a:off x="2390775" y="7771764"/>
          <a:ext cx="1037590" cy="19050"/>
          <a:chOff x="0" y="0"/>
          <a:chExt cx="1037590" cy="19050"/>
        </a:xfrm>
      </xdr:grpSpPr>
      <xdr:sp macro="" textlink="">
        <xdr:nvSpPr>
          <xdr:cNvPr id="3" name="Shape 85">
            <a:extLst>
              <a:ext uri="{FF2B5EF4-FFF2-40B4-BE49-F238E27FC236}">
                <a16:creationId xmlns:a16="http://schemas.microsoft.com/office/drawing/2014/main" id="{9E8E2D4A-3C20-8E11-4918-D6BFDBB774D5}"/>
              </a:ext>
            </a:extLst>
          </xdr:cNvPr>
          <xdr:cNvSpPr/>
        </xdr:nvSpPr>
        <xdr:spPr>
          <a:xfrm>
            <a:off x="0" y="14191"/>
            <a:ext cx="638175" cy="0"/>
          </a:xfrm>
          <a:custGeom>
            <a:avLst/>
            <a:gdLst/>
            <a:ahLst/>
            <a:cxnLst/>
            <a:rect l="0" t="0" r="0" b="0"/>
            <a:pathLst>
              <a:path w="638175">
                <a:moveTo>
                  <a:pt x="0" y="0"/>
                </a:moveTo>
                <a:lnTo>
                  <a:pt x="638031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 macro="" textlink="">
        <xdr:nvSpPr>
          <xdr:cNvPr id="4" name="Shape 86">
            <a:extLst>
              <a:ext uri="{FF2B5EF4-FFF2-40B4-BE49-F238E27FC236}">
                <a16:creationId xmlns:a16="http://schemas.microsoft.com/office/drawing/2014/main" id="{563025AC-E09E-9043-2BC0-90CE4A43E1F6}"/>
              </a:ext>
            </a:extLst>
          </xdr:cNvPr>
          <xdr:cNvSpPr/>
        </xdr:nvSpPr>
        <xdr:spPr>
          <a:xfrm>
            <a:off x="655933" y="5882"/>
            <a:ext cx="381635" cy="0"/>
          </a:xfrm>
          <a:custGeom>
            <a:avLst/>
            <a:gdLst/>
            <a:ahLst/>
            <a:cxnLst/>
            <a:rect l="0" t="0" r="0" b="0"/>
            <a:pathLst>
              <a:path w="381635">
                <a:moveTo>
                  <a:pt x="0" y="0"/>
                </a:moveTo>
                <a:lnTo>
                  <a:pt x="381216" y="0"/>
                </a:lnTo>
              </a:path>
            </a:pathLst>
          </a:custGeom>
          <a:ln w="11765">
            <a:solidFill>
              <a:srgbClr val="000000"/>
            </a:solidFill>
            <a:prstDash val="dash"/>
          </a:ln>
        </xdr:spPr>
      </xdr:sp>
    </xdr:grp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13993</xdr:colOff>
      <xdr:row>37</xdr:row>
      <xdr:rowOff>130810</xdr:rowOff>
    </xdr:from>
    <xdr:ext cx="1037590" cy="19050"/>
    <xdr:grpSp>
      <xdr:nvGrpSpPr>
        <xdr:cNvPr id="2" name="Group 70">
          <a:extLst>
            <a:ext uri="{FF2B5EF4-FFF2-40B4-BE49-F238E27FC236}">
              <a16:creationId xmlns:a16="http://schemas.microsoft.com/office/drawing/2014/main" id="{3776A8BE-4383-48F1-BFC3-6B21B0637D8F}"/>
            </a:ext>
          </a:extLst>
        </xdr:cNvPr>
        <xdr:cNvGrpSpPr/>
      </xdr:nvGrpSpPr>
      <xdr:grpSpPr>
        <a:xfrm>
          <a:off x="13993" y="6912610"/>
          <a:ext cx="1037590" cy="19050"/>
          <a:chOff x="0" y="0"/>
          <a:chExt cx="1037590" cy="19050"/>
        </a:xfrm>
      </xdr:grpSpPr>
      <xdr:sp macro="" textlink="">
        <xdr:nvSpPr>
          <xdr:cNvPr id="3" name="Shape 71">
            <a:extLst>
              <a:ext uri="{FF2B5EF4-FFF2-40B4-BE49-F238E27FC236}">
                <a16:creationId xmlns:a16="http://schemas.microsoft.com/office/drawing/2014/main" id="{75C053D0-B864-A441-7E45-CD15616A4E35}"/>
              </a:ext>
            </a:extLst>
          </xdr:cNvPr>
          <xdr:cNvSpPr/>
        </xdr:nvSpPr>
        <xdr:spPr>
          <a:xfrm>
            <a:off x="0" y="14191"/>
            <a:ext cx="638175" cy="0"/>
          </a:xfrm>
          <a:custGeom>
            <a:avLst/>
            <a:gdLst/>
            <a:ahLst/>
            <a:cxnLst/>
            <a:rect l="0" t="0" r="0" b="0"/>
            <a:pathLst>
              <a:path w="638175">
                <a:moveTo>
                  <a:pt x="0" y="0"/>
                </a:moveTo>
                <a:lnTo>
                  <a:pt x="638031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 macro="" textlink="">
        <xdr:nvSpPr>
          <xdr:cNvPr id="4" name="Shape 72">
            <a:extLst>
              <a:ext uri="{FF2B5EF4-FFF2-40B4-BE49-F238E27FC236}">
                <a16:creationId xmlns:a16="http://schemas.microsoft.com/office/drawing/2014/main" id="{4FD3E632-D6B9-05BB-EBF7-5FB0AD6B354F}"/>
              </a:ext>
            </a:extLst>
          </xdr:cNvPr>
          <xdr:cNvSpPr/>
        </xdr:nvSpPr>
        <xdr:spPr>
          <a:xfrm>
            <a:off x="655933" y="5882"/>
            <a:ext cx="381635" cy="0"/>
          </a:xfrm>
          <a:custGeom>
            <a:avLst/>
            <a:gdLst/>
            <a:ahLst/>
            <a:cxnLst/>
            <a:rect l="0" t="0" r="0" b="0"/>
            <a:pathLst>
              <a:path w="381635">
                <a:moveTo>
                  <a:pt x="0" y="0"/>
                </a:moveTo>
                <a:lnTo>
                  <a:pt x="381216" y="0"/>
                </a:lnTo>
              </a:path>
            </a:pathLst>
          </a:custGeom>
          <a:ln w="11765">
            <a:solidFill>
              <a:srgbClr val="000000"/>
            </a:solidFill>
            <a:prstDash val="dash"/>
          </a:ln>
        </xdr:spPr>
      </xdr:sp>
    </xdr:grpSp>
    <xdr:clientData/>
  </xdr:oneCellAnchor>
  <xdr:oneCellAnchor>
    <xdr:from>
      <xdr:col>2</xdr:col>
      <xdr:colOff>20869</xdr:colOff>
      <xdr:row>37</xdr:row>
      <xdr:rowOff>162091</xdr:rowOff>
    </xdr:from>
    <xdr:ext cx="375920" cy="0"/>
    <xdr:sp macro="" textlink="">
      <xdr:nvSpPr>
        <xdr:cNvPr id="5" name="Shape 73">
          <a:extLst>
            <a:ext uri="{FF2B5EF4-FFF2-40B4-BE49-F238E27FC236}">
              <a16:creationId xmlns:a16="http://schemas.microsoft.com/office/drawing/2014/main" id="{5D15372D-329E-4093-B4DF-A7360969B6A5}"/>
            </a:ext>
          </a:extLst>
        </xdr:cNvPr>
        <xdr:cNvSpPr/>
      </xdr:nvSpPr>
      <xdr:spPr>
        <a:xfrm>
          <a:off x="2640244" y="33004291"/>
          <a:ext cx="375920" cy="0"/>
        </a:xfrm>
        <a:custGeom>
          <a:avLst/>
          <a:gdLst/>
          <a:ahLst/>
          <a:cxnLst/>
          <a:rect l="0" t="0" r="0" b="0"/>
          <a:pathLst>
            <a:path w="375920">
              <a:moveTo>
                <a:pt x="0" y="0"/>
              </a:moveTo>
              <a:lnTo>
                <a:pt x="375921" y="0"/>
              </a:lnTo>
            </a:path>
          </a:pathLst>
        </a:custGeom>
        <a:ln w="11765">
          <a:solidFill>
            <a:srgbClr val="000000"/>
          </a:solidFill>
          <a:prstDash val="dash"/>
        </a:ln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13993</xdr:colOff>
      <xdr:row>39</xdr:row>
      <xdr:rowOff>117475</xdr:rowOff>
    </xdr:from>
    <xdr:ext cx="1037590" cy="19050"/>
    <xdr:grpSp>
      <xdr:nvGrpSpPr>
        <xdr:cNvPr id="2" name="Group 29">
          <a:extLst>
            <a:ext uri="{FF2B5EF4-FFF2-40B4-BE49-F238E27FC236}">
              <a16:creationId xmlns:a16="http://schemas.microsoft.com/office/drawing/2014/main" id="{3F1C23DE-9CC3-4980-BDB4-C241F060E8A0}"/>
            </a:ext>
          </a:extLst>
        </xdr:cNvPr>
        <xdr:cNvGrpSpPr/>
      </xdr:nvGrpSpPr>
      <xdr:grpSpPr>
        <a:xfrm>
          <a:off x="4928893" y="7623175"/>
          <a:ext cx="1037590" cy="19050"/>
          <a:chOff x="0" y="0"/>
          <a:chExt cx="1037590" cy="19050"/>
        </a:xfrm>
      </xdr:grpSpPr>
      <xdr:sp macro="" textlink="">
        <xdr:nvSpPr>
          <xdr:cNvPr id="3" name="Shape 30">
            <a:extLst>
              <a:ext uri="{FF2B5EF4-FFF2-40B4-BE49-F238E27FC236}">
                <a16:creationId xmlns:a16="http://schemas.microsoft.com/office/drawing/2014/main" id="{81B96BC4-15E0-1441-55FF-817F35214C0B}"/>
              </a:ext>
            </a:extLst>
          </xdr:cNvPr>
          <xdr:cNvSpPr/>
        </xdr:nvSpPr>
        <xdr:spPr>
          <a:xfrm>
            <a:off x="0" y="14191"/>
            <a:ext cx="638175" cy="0"/>
          </a:xfrm>
          <a:custGeom>
            <a:avLst/>
            <a:gdLst/>
            <a:ahLst/>
            <a:cxnLst/>
            <a:rect l="0" t="0" r="0" b="0"/>
            <a:pathLst>
              <a:path w="638175">
                <a:moveTo>
                  <a:pt x="0" y="0"/>
                </a:moveTo>
                <a:lnTo>
                  <a:pt x="638031" y="0"/>
                </a:lnTo>
              </a:path>
            </a:pathLst>
          </a:custGeom>
          <a:ln w="9155">
            <a:solidFill>
              <a:srgbClr val="000000"/>
            </a:solidFill>
          </a:ln>
        </xdr:spPr>
      </xdr:sp>
      <xdr:sp macro="" textlink="">
        <xdr:nvSpPr>
          <xdr:cNvPr id="4" name="Shape 31">
            <a:extLst>
              <a:ext uri="{FF2B5EF4-FFF2-40B4-BE49-F238E27FC236}">
                <a16:creationId xmlns:a16="http://schemas.microsoft.com/office/drawing/2014/main" id="{2B506EB8-DC50-5061-EBBE-CC95124C7BCC}"/>
              </a:ext>
            </a:extLst>
          </xdr:cNvPr>
          <xdr:cNvSpPr/>
        </xdr:nvSpPr>
        <xdr:spPr>
          <a:xfrm>
            <a:off x="655933" y="5882"/>
            <a:ext cx="381635" cy="0"/>
          </a:xfrm>
          <a:custGeom>
            <a:avLst/>
            <a:gdLst/>
            <a:ahLst/>
            <a:cxnLst/>
            <a:rect l="0" t="0" r="0" b="0"/>
            <a:pathLst>
              <a:path w="381635">
                <a:moveTo>
                  <a:pt x="0" y="0"/>
                </a:moveTo>
                <a:lnTo>
                  <a:pt x="381216" y="0"/>
                </a:lnTo>
              </a:path>
            </a:pathLst>
          </a:custGeom>
          <a:ln w="11765">
            <a:solidFill>
              <a:srgbClr val="000000"/>
            </a:solidFill>
            <a:prstDash val="dash"/>
          </a:ln>
        </xdr:spPr>
      </xdr:sp>
    </xdr:grpSp>
    <xdr:clientData/>
  </xdr:oneCellAnchor>
  <xdr:oneCellAnchor>
    <xdr:from>
      <xdr:col>19</xdr:col>
      <xdr:colOff>20869</xdr:colOff>
      <xdr:row>39</xdr:row>
      <xdr:rowOff>148758</xdr:rowOff>
    </xdr:from>
    <xdr:ext cx="375920" cy="0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id="{4B3A7AA9-045B-4696-BDB3-D19DEE6AE617}"/>
            </a:ext>
          </a:extLst>
        </xdr:cNvPr>
        <xdr:cNvSpPr/>
      </xdr:nvSpPr>
      <xdr:spPr>
        <a:xfrm>
          <a:off x="2640244" y="18217683"/>
          <a:ext cx="375920" cy="0"/>
        </a:xfrm>
        <a:custGeom>
          <a:avLst/>
          <a:gdLst/>
          <a:ahLst/>
          <a:cxnLst/>
          <a:rect l="0" t="0" r="0" b="0"/>
          <a:pathLst>
            <a:path w="375920">
              <a:moveTo>
                <a:pt x="0" y="0"/>
              </a:moveTo>
              <a:lnTo>
                <a:pt x="375921" y="0"/>
              </a:lnTo>
            </a:path>
          </a:pathLst>
        </a:custGeom>
        <a:ln w="1176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121C-7EAC-49F4-A55C-458D8CC49E3E}">
  <dimension ref="B1:M51"/>
  <sheetViews>
    <sheetView topLeftCell="C2" workbookViewId="0">
      <selection activeCell="E38" sqref="E38:M38"/>
    </sheetView>
  </sheetViews>
  <sheetFormatPr defaultRowHeight="12.75" x14ac:dyDescent="0.2"/>
  <cols>
    <col min="3" max="3" width="30.83203125" customWidth="1"/>
    <col min="4" max="7" width="12.33203125" customWidth="1"/>
  </cols>
  <sheetData>
    <row r="1" spans="2:13" ht="18.75" x14ac:dyDescent="0.2">
      <c r="G1" s="162" t="s">
        <v>134</v>
      </c>
      <c r="H1" s="162"/>
      <c r="I1" s="162"/>
      <c r="J1" s="162"/>
    </row>
    <row r="2" spans="2:13" ht="18.75" customHeight="1" x14ac:dyDescent="0.2">
      <c r="B2" s="160" t="s">
        <v>132</v>
      </c>
      <c r="C2" s="159"/>
      <c r="D2" s="159"/>
      <c r="E2" s="159"/>
      <c r="F2" s="159"/>
      <c r="G2" s="159"/>
      <c r="H2" s="159"/>
      <c r="I2" s="159"/>
      <c r="J2" s="159"/>
    </row>
    <row r="3" spans="2:13" x14ac:dyDescent="0.2">
      <c r="D3" s="34"/>
      <c r="E3" s="108">
        <v>5</v>
      </c>
      <c r="F3" s="108">
        <v>10</v>
      </c>
      <c r="G3" s="108">
        <v>15</v>
      </c>
      <c r="H3" s="108">
        <v>30</v>
      </c>
      <c r="I3" s="108">
        <v>60</v>
      </c>
      <c r="J3" s="108">
        <v>120</v>
      </c>
      <c r="K3" s="108">
        <v>360</v>
      </c>
      <c r="L3" s="108">
        <v>720</v>
      </c>
      <c r="M3" s="108">
        <v>1440</v>
      </c>
    </row>
    <row r="4" spans="2:13" ht="15" x14ac:dyDescent="0.2">
      <c r="B4" s="108" t="s">
        <v>131</v>
      </c>
      <c r="C4" s="108" t="s">
        <v>133</v>
      </c>
      <c r="D4" s="167" t="s">
        <v>144</v>
      </c>
      <c r="E4" s="163" t="s">
        <v>140</v>
      </c>
      <c r="F4" s="163" t="s">
        <v>141</v>
      </c>
      <c r="G4" s="163" t="s">
        <v>142</v>
      </c>
      <c r="H4" s="163" t="s">
        <v>143</v>
      </c>
      <c r="I4" s="163" t="s">
        <v>135</v>
      </c>
      <c r="J4" s="163" t="s">
        <v>136</v>
      </c>
      <c r="K4" s="163" t="s">
        <v>137</v>
      </c>
      <c r="L4" s="163" t="s">
        <v>138</v>
      </c>
      <c r="M4" s="163" t="s">
        <v>139</v>
      </c>
    </row>
    <row r="5" spans="2:13" x14ac:dyDescent="0.2">
      <c r="B5" s="46">
        <v>1990</v>
      </c>
      <c r="C5" s="46">
        <v>80.400000000000006</v>
      </c>
      <c r="D5" s="165"/>
      <c r="E5" s="168">
        <f>C5*($E$3/1440)^(1/3)</f>
        <v>12.174707971975335</v>
      </c>
      <c r="F5" s="168">
        <f>$C$5*(F3/1440)^(1/3)</f>
        <v>15.339170850214648</v>
      </c>
      <c r="G5" s="168">
        <f t="shared" ref="G5:M5" si="0">$C$5*(G3/1440)^(1/3)</f>
        <v>17.558967341199612</v>
      </c>
      <c r="H5" s="168">
        <f t="shared" si="0"/>
        <v>22.122912567594</v>
      </c>
      <c r="I5" s="168">
        <f t="shared" si="0"/>
        <v>27.873123228895519</v>
      </c>
      <c r="J5" s="168">
        <f t="shared" si="0"/>
        <v>35.117934682399216</v>
      </c>
      <c r="K5" s="168">
        <f t="shared" si="0"/>
        <v>50.648826205773908</v>
      </c>
      <c r="L5" s="168">
        <f t="shared" si="0"/>
        <v>63.813522289121629</v>
      </c>
      <c r="M5" s="168">
        <f t="shared" si="0"/>
        <v>80.400000000000006</v>
      </c>
    </row>
    <row r="6" spans="2:13" x14ac:dyDescent="0.2">
      <c r="B6" s="46">
        <v>1991</v>
      </c>
      <c r="C6" s="46">
        <v>192</v>
      </c>
      <c r="D6" s="165"/>
      <c r="E6" s="168">
        <f t="shared" ref="E6:E9" si="1">C6*($E$3/1440)^(1/3)</f>
        <v>29.073929485314231</v>
      </c>
      <c r="F6" s="168">
        <f>$C$6*(F3/1440)^(1/3)</f>
        <v>36.63085576170662</v>
      </c>
      <c r="G6" s="168">
        <f t="shared" ref="G6:M6" si="2">$C$6*(G3/1440)^(1/3)</f>
        <v>41.931862307342357</v>
      </c>
      <c r="H6" s="168">
        <f t="shared" si="2"/>
        <v>52.830835982314028</v>
      </c>
      <c r="I6" s="168">
        <f t="shared" si="2"/>
        <v>66.562682337660931</v>
      </c>
      <c r="J6" s="168">
        <f t="shared" si="2"/>
        <v>83.863724614684685</v>
      </c>
      <c r="K6" s="168">
        <f t="shared" si="2"/>
        <v>120.95242078990782</v>
      </c>
      <c r="L6" s="168">
        <f t="shared" si="2"/>
        <v>152.39050098894717</v>
      </c>
      <c r="M6" s="168">
        <f t="shared" si="2"/>
        <v>192</v>
      </c>
    </row>
    <row r="7" spans="2:13" x14ac:dyDescent="0.2">
      <c r="B7" s="46">
        <v>1992</v>
      </c>
      <c r="C7" s="46">
        <v>100.2</v>
      </c>
      <c r="D7" s="165"/>
      <c r="E7" s="168">
        <f t="shared" si="1"/>
        <v>15.172956950148366</v>
      </c>
      <c r="F7" s="168">
        <f>$C$7*(F3/1440)^(1/3)</f>
        <v>19.116727850640643</v>
      </c>
      <c r="G7" s="168">
        <f t="shared" ref="G7:M7" si="3">$C$7*(G3/1440)^(1/3)</f>
        <v>21.883190641644291</v>
      </c>
      <c r="H7" s="168">
        <f t="shared" si="3"/>
        <v>27.571092528270135</v>
      </c>
      <c r="I7" s="168">
        <f t="shared" si="3"/>
        <v>34.737399844966802</v>
      </c>
      <c r="J7" s="168">
        <f t="shared" si="3"/>
        <v>43.766381283288574</v>
      </c>
      <c r="K7" s="168">
        <f t="shared" si="3"/>
        <v>63.122044599733151</v>
      </c>
      <c r="L7" s="168">
        <f t="shared" si="3"/>
        <v>79.528792703606797</v>
      </c>
      <c r="M7" s="168">
        <f t="shared" si="3"/>
        <v>100.2</v>
      </c>
    </row>
    <row r="8" spans="2:13" x14ac:dyDescent="0.2">
      <c r="B8" s="46">
        <v>1993</v>
      </c>
      <c r="C8" s="46">
        <v>114</v>
      </c>
      <c r="D8" s="165"/>
      <c r="E8" s="168">
        <f t="shared" si="1"/>
        <v>17.262645631905325</v>
      </c>
      <c r="F8" s="168">
        <f>$C$8*(F3/1440)^(1/3)</f>
        <v>21.749570608513306</v>
      </c>
      <c r="G8" s="168">
        <f t="shared" ref="G8:M8" si="4">$C$8*(G3/1440)^(1/3)</f>
        <v>24.897043244984523</v>
      </c>
      <c r="H8" s="168">
        <f t="shared" si="4"/>
        <v>31.368308864498953</v>
      </c>
      <c r="I8" s="168">
        <f t="shared" si="4"/>
        <v>39.521592637986181</v>
      </c>
      <c r="J8" s="168">
        <f t="shared" si="4"/>
        <v>49.794086489969033</v>
      </c>
      <c r="K8" s="168">
        <f t="shared" si="4"/>
        <v>71.815499844007775</v>
      </c>
      <c r="L8" s="168">
        <f t="shared" si="4"/>
        <v>90.481859962187372</v>
      </c>
      <c r="M8" s="168">
        <f t="shared" si="4"/>
        <v>114</v>
      </c>
    </row>
    <row r="9" spans="2:13" x14ac:dyDescent="0.2">
      <c r="B9" s="46">
        <v>1994</v>
      </c>
      <c r="C9" s="46">
        <v>124.4</v>
      </c>
      <c r="D9" s="165"/>
      <c r="E9" s="168">
        <f t="shared" si="1"/>
        <v>18.837483479026513</v>
      </c>
      <c r="F9" s="168">
        <f>$C$9*(F3/1440)^(1/3)</f>
        <v>23.733741962272415</v>
      </c>
      <c r="G9" s="168">
        <f t="shared" ref="G9:M9" si="5">$C$9*(G3/1440)^(1/3)</f>
        <v>27.168352453298901</v>
      </c>
      <c r="H9" s="168">
        <f t="shared" si="5"/>
        <v>34.2299791468743</v>
      </c>
      <c r="I9" s="168">
        <f t="shared" si="5"/>
        <v>43.127071264609484</v>
      </c>
      <c r="J9" s="168">
        <f t="shared" si="5"/>
        <v>54.336704906597788</v>
      </c>
      <c r="K9" s="168">
        <f t="shared" si="5"/>
        <v>78.367089303461114</v>
      </c>
      <c r="L9" s="168">
        <f t="shared" si="5"/>
        <v>98.736345432422013</v>
      </c>
      <c r="M9" s="168">
        <f t="shared" si="5"/>
        <v>124.4</v>
      </c>
    </row>
    <row r="10" spans="2:13" x14ac:dyDescent="0.2">
      <c r="B10" s="46">
        <v>1995</v>
      </c>
      <c r="C10" s="46">
        <v>123</v>
      </c>
      <c r="D10" s="165"/>
      <c r="E10" s="168">
        <f>$C$10*(E3/1440)^(1/3)</f>
        <v>18.62548607652943</v>
      </c>
      <c r="F10" s="168">
        <f t="shared" ref="F10:M10" si="6">$C$10*(F3/1440)^(1/3)</f>
        <v>23.466641972343304</v>
      </c>
      <c r="G10" s="168">
        <f t="shared" si="6"/>
        <v>26.862599290641196</v>
      </c>
      <c r="H10" s="168">
        <f t="shared" si="6"/>
        <v>33.844754301169921</v>
      </c>
      <c r="I10" s="168">
        <f t="shared" si="6"/>
        <v>42.641718372564036</v>
      </c>
      <c r="J10" s="168">
        <f t="shared" si="6"/>
        <v>53.725198581282378</v>
      </c>
      <c r="K10" s="168">
        <f t="shared" si="6"/>
        <v>77.485144568534707</v>
      </c>
      <c r="L10" s="168">
        <f t="shared" si="6"/>
        <v>97.62516469604428</v>
      </c>
      <c r="M10" s="168">
        <f t="shared" si="6"/>
        <v>123</v>
      </c>
    </row>
    <row r="11" spans="2:13" x14ac:dyDescent="0.2">
      <c r="B11" s="46">
        <v>1996</v>
      </c>
      <c r="C11" s="46">
        <v>89</v>
      </c>
      <c r="D11" s="165"/>
      <c r="E11" s="168">
        <f>$C$11*(E3/1440)^(1/3)</f>
        <v>13.476977730171702</v>
      </c>
      <c r="F11" s="168">
        <f t="shared" ref="F11:M11" si="7">$C$11*(F3/1440)^(1/3)</f>
        <v>16.979927931207754</v>
      </c>
      <c r="G11" s="168">
        <f t="shared" si="7"/>
        <v>19.437165340382652</v>
      </c>
      <c r="H11" s="168">
        <f t="shared" si="7"/>
        <v>24.48929376263515</v>
      </c>
      <c r="I11" s="168">
        <f t="shared" si="7"/>
        <v>30.854576708603247</v>
      </c>
      <c r="J11" s="168">
        <f t="shared" si="7"/>
        <v>38.874330680765297</v>
      </c>
      <c r="K11" s="168">
        <f t="shared" si="7"/>
        <v>56.066486720321855</v>
      </c>
      <c r="L11" s="168">
        <f t="shared" si="7"/>
        <v>70.639346812584876</v>
      </c>
      <c r="M11" s="168">
        <f t="shared" si="7"/>
        <v>89</v>
      </c>
    </row>
    <row r="12" spans="2:13" x14ac:dyDescent="0.2">
      <c r="B12" s="46">
        <v>1997</v>
      </c>
      <c r="C12" s="46">
        <v>175</v>
      </c>
      <c r="D12" s="165"/>
      <c r="E12" s="168">
        <f>$C$12*(E3/1440)^(1/3)</f>
        <v>26.49967531213537</v>
      </c>
      <c r="F12" s="168">
        <f t="shared" ref="F12:M12" si="8">$C$12*(F3/1440)^(1/3)</f>
        <v>33.387498741138849</v>
      </c>
      <c r="G12" s="168">
        <f t="shared" si="8"/>
        <v>38.219145332213081</v>
      </c>
      <c r="H12" s="168">
        <f t="shared" si="8"/>
        <v>48.153105713046642</v>
      </c>
      <c r="I12" s="168">
        <f t="shared" si="8"/>
        <v>60.66911150568054</v>
      </c>
      <c r="J12" s="168">
        <f t="shared" si="8"/>
        <v>76.438290664426148</v>
      </c>
      <c r="K12" s="168">
        <f t="shared" si="8"/>
        <v>110.2430918658014</v>
      </c>
      <c r="L12" s="168">
        <f t="shared" si="8"/>
        <v>138.89759204721747</v>
      </c>
      <c r="M12" s="168">
        <f t="shared" si="8"/>
        <v>175</v>
      </c>
    </row>
    <row r="13" spans="2:13" x14ac:dyDescent="0.2">
      <c r="B13" s="46">
        <v>1998</v>
      </c>
      <c r="C13" s="46">
        <v>91</v>
      </c>
      <c r="D13" s="165"/>
      <c r="E13" s="168">
        <f>$C$13*(E3/1440)^(1/3)</f>
        <v>13.779831162310392</v>
      </c>
      <c r="F13" s="168">
        <f t="shared" ref="F13:M13" si="9">$C$13*(F3/1440)^(1/3)</f>
        <v>17.3614993453922</v>
      </c>
      <c r="G13" s="168">
        <f t="shared" si="9"/>
        <v>19.873955572750802</v>
      </c>
      <c r="H13" s="168">
        <f t="shared" si="9"/>
        <v>25.039614970784253</v>
      </c>
      <c r="I13" s="168">
        <f t="shared" si="9"/>
        <v>31.547937982953883</v>
      </c>
      <c r="J13" s="168">
        <f t="shared" si="9"/>
        <v>39.747911145501597</v>
      </c>
      <c r="K13" s="168">
        <f t="shared" si="9"/>
        <v>57.326407770216733</v>
      </c>
      <c r="L13" s="168">
        <f t="shared" si="9"/>
        <v>72.226747864553076</v>
      </c>
      <c r="M13" s="168">
        <f t="shared" si="9"/>
        <v>91</v>
      </c>
    </row>
    <row r="14" spans="2:13" x14ac:dyDescent="0.2">
      <c r="B14" s="46">
        <v>1999</v>
      </c>
      <c r="C14" s="46">
        <v>82</v>
      </c>
      <c r="D14" s="165"/>
      <c r="E14" s="168">
        <f>$C$14*(E3/1440)^(1/3)</f>
        <v>12.416990717686287</v>
      </c>
      <c r="F14" s="168">
        <f t="shared" ref="F14:M14" si="10">$C$14*(F3/1440)^(1/3)</f>
        <v>15.644427981562202</v>
      </c>
      <c r="G14" s="168">
        <f t="shared" si="10"/>
        <v>17.908399527094129</v>
      </c>
      <c r="H14" s="168">
        <f t="shared" si="10"/>
        <v>22.563169534113282</v>
      </c>
      <c r="I14" s="168">
        <f t="shared" si="10"/>
        <v>28.427812248376025</v>
      </c>
      <c r="J14" s="168">
        <f t="shared" si="10"/>
        <v>35.816799054188252</v>
      </c>
      <c r="K14" s="168">
        <f t="shared" si="10"/>
        <v>51.6567630456898</v>
      </c>
      <c r="L14" s="168">
        <f t="shared" si="10"/>
        <v>65.083443130696182</v>
      </c>
      <c r="M14" s="168">
        <f t="shared" si="10"/>
        <v>82</v>
      </c>
    </row>
    <row r="15" spans="2:13" x14ac:dyDescent="0.2">
      <c r="B15" s="46">
        <v>2000</v>
      </c>
      <c r="C15" s="46">
        <v>79</v>
      </c>
      <c r="D15" s="165"/>
      <c r="E15" s="168">
        <f>$C$15*(E3/1440)^(1/3)</f>
        <v>11.962710569478253</v>
      </c>
      <c r="F15" s="168">
        <f t="shared" ref="F15:M15" si="11">$C$15*(F3/1440)^(1/3)</f>
        <v>15.072070860285537</v>
      </c>
      <c r="G15" s="168">
        <f t="shared" si="11"/>
        <v>17.253214178541906</v>
      </c>
      <c r="H15" s="168">
        <f t="shared" si="11"/>
        <v>21.737687721889625</v>
      </c>
      <c r="I15" s="168">
        <f t="shared" si="11"/>
        <v>27.387770336850075</v>
      </c>
      <c r="J15" s="168">
        <f t="shared" si="11"/>
        <v>34.506428357083806</v>
      </c>
      <c r="K15" s="168">
        <f t="shared" si="11"/>
        <v>49.766881470847494</v>
      </c>
      <c r="L15" s="168">
        <f t="shared" si="11"/>
        <v>62.702341552743881</v>
      </c>
      <c r="M15" s="168">
        <f t="shared" si="11"/>
        <v>79</v>
      </c>
    </row>
    <row r="16" spans="2:13" x14ac:dyDescent="0.2">
      <c r="B16" s="46">
        <v>2001</v>
      </c>
      <c r="C16" s="46">
        <v>225</v>
      </c>
      <c r="D16" s="165"/>
      <c r="E16" s="168">
        <f>$C$16*(E3/1440)^(1/3)</f>
        <v>34.071011115602616</v>
      </c>
      <c r="F16" s="168">
        <f t="shared" ref="F16:M16" si="12">$C$16*(F3/1440)^(1/3)</f>
        <v>42.926784095749944</v>
      </c>
      <c r="G16" s="168">
        <f t="shared" si="12"/>
        <v>49.138901141416817</v>
      </c>
      <c r="H16" s="168">
        <f t="shared" si="12"/>
        <v>61.911135916774249</v>
      </c>
      <c r="I16" s="168">
        <f t="shared" si="12"/>
        <v>78.003143364446416</v>
      </c>
      <c r="J16" s="168">
        <f t="shared" si="12"/>
        <v>98.277802282833619</v>
      </c>
      <c r="K16" s="168">
        <f t="shared" si="12"/>
        <v>141.74111811317323</v>
      </c>
      <c r="L16" s="168">
        <f t="shared" si="12"/>
        <v>178.58261834642246</v>
      </c>
      <c r="M16" s="168">
        <f t="shared" si="12"/>
        <v>225</v>
      </c>
    </row>
    <row r="17" spans="2:13" x14ac:dyDescent="0.2">
      <c r="B17" s="46">
        <v>2002</v>
      </c>
      <c r="C17" s="46">
        <v>74</v>
      </c>
      <c r="D17" s="165"/>
      <c r="E17" s="168">
        <f>$C$17*(E3/1440)^(1/3)</f>
        <v>11.205576989131528</v>
      </c>
      <c r="F17" s="168">
        <f t="shared" ref="F17:M17" si="13">$C$17*(F3/1440)^(1/3)</f>
        <v>14.118142324824426</v>
      </c>
      <c r="G17" s="168">
        <f t="shared" si="13"/>
        <v>16.161238597621534</v>
      </c>
      <c r="H17" s="168">
        <f t="shared" si="13"/>
        <v>20.361884701516864</v>
      </c>
      <c r="I17" s="168">
        <f t="shared" si="13"/>
        <v>25.654367150973485</v>
      </c>
      <c r="J17" s="168">
        <f t="shared" si="13"/>
        <v>32.322477195243053</v>
      </c>
      <c r="K17" s="168">
        <f t="shared" si="13"/>
        <v>46.61707884611031</v>
      </c>
      <c r="L17" s="168">
        <f t="shared" si="13"/>
        <v>58.733838922823388</v>
      </c>
      <c r="M17" s="168">
        <f t="shared" si="13"/>
        <v>74</v>
      </c>
    </row>
    <row r="18" spans="2:13" x14ac:dyDescent="0.2">
      <c r="B18" s="46">
        <v>2003</v>
      </c>
      <c r="C18" s="46">
        <v>150</v>
      </c>
      <c r="D18" s="165"/>
      <c r="E18" s="168">
        <f>$C$18*(E3/1440)^(1/3)</f>
        <v>22.714007410401745</v>
      </c>
      <c r="F18" s="168">
        <f t="shared" ref="F18:M18" si="14">$C$18*(F3/1440)^(1/3)</f>
        <v>28.617856063833297</v>
      </c>
      <c r="G18" s="168">
        <f t="shared" si="14"/>
        <v>32.759267427611213</v>
      </c>
      <c r="H18" s="168">
        <f t="shared" si="14"/>
        <v>41.274090611182835</v>
      </c>
      <c r="I18" s="168">
        <f t="shared" si="14"/>
        <v>52.002095576297606</v>
      </c>
      <c r="J18" s="168">
        <f t="shared" si="14"/>
        <v>65.518534855222413</v>
      </c>
      <c r="K18" s="168">
        <f t="shared" si="14"/>
        <v>94.494078742115491</v>
      </c>
      <c r="L18" s="168">
        <f t="shared" si="14"/>
        <v>119.05507889761496</v>
      </c>
      <c r="M18" s="168">
        <f t="shared" si="14"/>
        <v>150</v>
      </c>
    </row>
    <row r="19" spans="2:13" x14ac:dyDescent="0.2">
      <c r="B19" s="46">
        <v>2004</v>
      </c>
      <c r="C19" s="46">
        <v>137</v>
      </c>
      <c r="D19" s="165"/>
      <c r="E19" s="168">
        <f>$C$19*(E3/1440)^(1/3)</f>
        <v>20.74546010150026</v>
      </c>
      <c r="F19" s="168">
        <f t="shared" ref="F19:M19" si="15">$C$19*(F3/1440)^(1/3)</f>
        <v>26.137641871634411</v>
      </c>
      <c r="G19" s="168">
        <f t="shared" si="15"/>
        <v>29.920130917218241</v>
      </c>
      <c r="H19" s="168">
        <f t="shared" si="15"/>
        <v>37.697002758213657</v>
      </c>
      <c r="I19" s="168">
        <f t="shared" si="15"/>
        <v>47.49524729301848</v>
      </c>
      <c r="J19" s="168">
        <f t="shared" si="15"/>
        <v>59.840261834436468</v>
      </c>
      <c r="K19" s="168">
        <f t="shared" si="15"/>
        <v>86.304591917798817</v>
      </c>
      <c r="L19" s="168">
        <f t="shared" si="15"/>
        <v>108.73697205982167</v>
      </c>
      <c r="M19" s="168">
        <f t="shared" si="15"/>
        <v>137</v>
      </c>
    </row>
    <row r="20" spans="2:13" x14ac:dyDescent="0.2">
      <c r="B20" s="46">
        <v>2005</v>
      </c>
      <c r="C20" s="46">
        <v>60</v>
      </c>
      <c r="D20" s="165"/>
      <c r="E20" s="168">
        <f>$C$20*(E3/1440)^(1/3)</f>
        <v>9.0856029641606977</v>
      </c>
      <c r="F20" s="168">
        <f t="shared" ref="F20:M20" si="16">$C$20*(F3/1440)^(1/3)</f>
        <v>11.447142425533318</v>
      </c>
      <c r="G20" s="168">
        <f t="shared" si="16"/>
        <v>13.103706971044485</v>
      </c>
      <c r="H20" s="168">
        <f t="shared" si="16"/>
        <v>16.509636244473135</v>
      </c>
      <c r="I20" s="168">
        <f t="shared" si="16"/>
        <v>20.800838230519044</v>
      </c>
      <c r="J20" s="168">
        <f t="shared" si="16"/>
        <v>26.207413942088962</v>
      </c>
      <c r="K20" s="168">
        <f t="shared" si="16"/>
        <v>37.797631496846193</v>
      </c>
      <c r="L20" s="168">
        <f t="shared" si="16"/>
        <v>47.622031559045986</v>
      </c>
      <c r="M20" s="168">
        <f t="shared" si="16"/>
        <v>60</v>
      </c>
    </row>
    <row r="21" spans="2:13" x14ac:dyDescent="0.2">
      <c r="B21" s="46">
        <v>2006</v>
      </c>
      <c r="C21" s="46">
        <v>81.599999999999994</v>
      </c>
      <c r="D21" s="165"/>
      <c r="E21" s="168">
        <f>$C$21*(E3/1440)^(1/3)</f>
        <v>12.356420031258548</v>
      </c>
      <c r="F21" s="168">
        <f t="shared" ref="F21:M21" si="17">$C$21*(F3/1440)^(1/3)</f>
        <v>15.568113698725313</v>
      </c>
      <c r="G21" s="168">
        <f t="shared" si="17"/>
        <v>17.821041480620497</v>
      </c>
      <c r="H21" s="168">
        <f t="shared" si="17"/>
        <v>22.45310529248346</v>
      </c>
      <c r="I21" s="168">
        <f t="shared" si="17"/>
        <v>28.289139993505895</v>
      </c>
      <c r="J21" s="168">
        <f t="shared" si="17"/>
        <v>35.642082961240988</v>
      </c>
      <c r="K21" s="168">
        <f t="shared" si="17"/>
        <v>51.404778835710822</v>
      </c>
      <c r="L21" s="168">
        <f t="shared" si="17"/>
        <v>64.765962920302542</v>
      </c>
      <c r="M21" s="168">
        <f t="shared" si="17"/>
        <v>81.599999999999994</v>
      </c>
    </row>
    <row r="22" spans="2:13" x14ac:dyDescent="0.2">
      <c r="B22" s="46">
        <v>2007</v>
      </c>
      <c r="C22" s="46">
        <v>96</v>
      </c>
      <c r="D22" s="165"/>
      <c r="E22" s="168">
        <f>$C$22*(E3/1440)^(1/3)</f>
        <v>14.536964742657116</v>
      </c>
      <c r="F22" s="168">
        <f t="shared" ref="F22:M22" si="18">$C$22*(F3/1440)^(1/3)</f>
        <v>18.31542788085331</v>
      </c>
      <c r="G22" s="168">
        <f t="shared" si="18"/>
        <v>20.965931153671178</v>
      </c>
      <c r="H22" s="168">
        <f t="shared" si="18"/>
        <v>26.415417991157014</v>
      </c>
      <c r="I22" s="168">
        <f t="shared" si="18"/>
        <v>33.281341168830465</v>
      </c>
      <c r="J22" s="168">
        <f t="shared" si="18"/>
        <v>41.931862307342342</v>
      </c>
      <c r="K22" s="168">
        <f t="shared" si="18"/>
        <v>60.47621039495391</v>
      </c>
      <c r="L22" s="168">
        <f t="shared" si="18"/>
        <v>76.195250494473584</v>
      </c>
      <c r="M22" s="168">
        <f t="shared" si="18"/>
        <v>96</v>
      </c>
    </row>
    <row r="23" spans="2:13" x14ac:dyDescent="0.2">
      <c r="B23" s="46">
        <v>2008</v>
      </c>
      <c r="C23" s="161">
        <v>104.4</v>
      </c>
      <c r="D23" s="166"/>
      <c r="E23" s="168">
        <f>$C$23*(E3/1440)^(1/3)</f>
        <v>15.808949157639615</v>
      </c>
      <c r="F23" s="168">
        <f t="shared" ref="F23:M23" si="19">$C$23*(F3/1440)^(1/3)</f>
        <v>19.918027820427977</v>
      </c>
      <c r="G23" s="168">
        <f t="shared" si="19"/>
        <v>22.800450129617406</v>
      </c>
      <c r="H23" s="168">
        <f t="shared" si="19"/>
        <v>28.726767065383253</v>
      </c>
      <c r="I23" s="168">
        <f t="shared" si="19"/>
        <v>36.193458521103139</v>
      </c>
      <c r="J23" s="168">
        <f t="shared" si="19"/>
        <v>45.600900259234798</v>
      </c>
      <c r="K23" s="168">
        <f t="shared" si="19"/>
        <v>65.767878804512378</v>
      </c>
      <c r="L23" s="168">
        <f t="shared" si="19"/>
        <v>82.862334912740025</v>
      </c>
      <c r="M23" s="168">
        <f t="shared" si="19"/>
        <v>104.4</v>
      </c>
    </row>
    <row r="24" spans="2:13" x14ac:dyDescent="0.2">
      <c r="B24" s="46">
        <v>2009</v>
      </c>
      <c r="C24" s="46">
        <v>48</v>
      </c>
      <c r="D24" s="165"/>
      <c r="E24" s="168">
        <f>$C$24*(E3/1440)^(1/3)</f>
        <v>7.2684823713285578</v>
      </c>
      <c r="F24" s="168">
        <f t="shared" ref="F24:M24" si="20">$C$24*(F3/1440)^(1/3)</f>
        <v>9.157713940426655</v>
      </c>
      <c r="G24" s="168">
        <f t="shared" si="20"/>
        <v>10.482965576835589</v>
      </c>
      <c r="H24" s="168">
        <f t="shared" si="20"/>
        <v>13.207708995578507</v>
      </c>
      <c r="I24" s="168">
        <f t="shared" si="20"/>
        <v>16.640670584415233</v>
      </c>
      <c r="J24" s="168">
        <f t="shared" si="20"/>
        <v>20.965931153671171</v>
      </c>
      <c r="K24" s="168">
        <f t="shared" si="20"/>
        <v>30.238105197476955</v>
      </c>
      <c r="L24" s="168">
        <f t="shared" si="20"/>
        <v>38.097625247236792</v>
      </c>
      <c r="M24" s="168">
        <f t="shared" si="20"/>
        <v>48</v>
      </c>
    </row>
    <row r="25" spans="2:13" x14ac:dyDescent="0.2">
      <c r="B25" s="46">
        <v>2010</v>
      </c>
      <c r="C25" s="46">
        <v>53</v>
      </c>
      <c r="D25" s="165"/>
      <c r="E25" s="168">
        <f>$C$25*(E3/1440)^(1/3)</f>
        <v>8.0256159516752827</v>
      </c>
      <c r="F25" s="168">
        <f t="shared" ref="F25:M25" si="21">$C$25*(F3/1440)^(1/3)</f>
        <v>10.111642475887765</v>
      </c>
      <c r="G25" s="168">
        <f t="shared" si="21"/>
        <v>11.574941157755962</v>
      </c>
      <c r="H25" s="168">
        <f t="shared" si="21"/>
        <v>14.583512015951268</v>
      </c>
      <c r="I25" s="168">
        <f t="shared" si="21"/>
        <v>18.374073770291822</v>
      </c>
      <c r="J25" s="168">
        <f t="shared" si="21"/>
        <v>23.149882315511917</v>
      </c>
      <c r="K25" s="168">
        <f t="shared" si="21"/>
        <v>33.387907822214139</v>
      </c>
      <c r="L25" s="168">
        <f t="shared" si="21"/>
        <v>42.066127877157292</v>
      </c>
      <c r="M25" s="168">
        <f t="shared" si="21"/>
        <v>53</v>
      </c>
    </row>
    <row r="26" spans="2:13" x14ac:dyDescent="0.2">
      <c r="B26" s="46">
        <v>2011</v>
      </c>
      <c r="C26" s="46">
        <v>112.8</v>
      </c>
      <c r="D26" s="165"/>
      <c r="E26" s="168">
        <f>$C$26*(E3/1440)^(1/3)</f>
        <v>17.080933572622111</v>
      </c>
      <c r="F26" s="168">
        <f t="shared" ref="F26:M26" si="22">$C$26*(F3/1440)^(1/3)</f>
        <v>21.52062776000264</v>
      </c>
      <c r="G26" s="168">
        <f t="shared" si="22"/>
        <v>24.634969105563631</v>
      </c>
      <c r="H26" s="168">
        <f t="shared" si="22"/>
        <v>31.038116139609489</v>
      </c>
      <c r="I26" s="168">
        <f t="shared" si="22"/>
        <v>39.105575873375798</v>
      </c>
      <c r="J26" s="168">
        <f t="shared" si="22"/>
        <v>49.269938211127254</v>
      </c>
      <c r="K26" s="168">
        <f t="shared" si="22"/>
        <v>71.059547214070847</v>
      </c>
      <c r="L26" s="168">
        <f t="shared" si="22"/>
        <v>89.529419331006451</v>
      </c>
      <c r="M26" s="168">
        <f t="shared" si="22"/>
        <v>112.8</v>
      </c>
    </row>
    <row r="27" spans="2:13" x14ac:dyDescent="0.2">
      <c r="B27" s="46">
        <v>2012</v>
      </c>
      <c r="C27" s="46">
        <v>66</v>
      </c>
      <c r="D27" s="165"/>
      <c r="E27" s="168">
        <f>$C$27*(E3/1440)^(1/3)</f>
        <v>9.9941632605767676</v>
      </c>
      <c r="F27" s="168">
        <f t="shared" ref="F27:M27" si="23">$C$27*(F3/1440)^(1/3)</f>
        <v>12.591856668086651</v>
      </c>
      <c r="G27" s="168">
        <f t="shared" si="23"/>
        <v>14.414077668148934</v>
      </c>
      <c r="H27" s="168">
        <f t="shared" si="23"/>
        <v>18.160599868920446</v>
      </c>
      <c r="I27" s="168">
        <f t="shared" si="23"/>
        <v>22.880922053570949</v>
      </c>
      <c r="J27" s="168">
        <f t="shared" si="23"/>
        <v>28.828155336297861</v>
      </c>
      <c r="K27" s="168">
        <f t="shared" si="23"/>
        <v>41.577394646530813</v>
      </c>
      <c r="L27" s="168">
        <f t="shared" si="23"/>
        <v>52.384234714950587</v>
      </c>
      <c r="M27" s="168">
        <f t="shared" si="23"/>
        <v>66</v>
      </c>
    </row>
    <row r="28" spans="2:13" x14ac:dyDescent="0.2">
      <c r="B28" s="46">
        <v>2013</v>
      </c>
      <c r="C28" s="46">
        <v>154</v>
      </c>
      <c r="D28" s="165"/>
      <c r="E28" s="168">
        <f>$C$28*(E3/1440)^(1/3)</f>
        <v>23.319714274679125</v>
      </c>
      <c r="F28" s="168">
        <f t="shared" ref="F28:M28" si="24">$C$28*(F3/1440)^(1/3)</f>
        <v>29.380998892202186</v>
      </c>
      <c r="G28" s="168">
        <f t="shared" si="24"/>
        <v>33.632847892347513</v>
      </c>
      <c r="H28" s="168">
        <f t="shared" si="24"/>
        <v>42.374733027481042</v>
      </c>
      <c r="I28" s="168">
        <f t="shared" si="24"/>
        <v>53.388818124998878</v>
      </c>
      <c r="J28" s="168">
        <f t="shared" si="24"/>
        <v>67.265695784695012</v>
      </c>
      <c r="K28" s="168">
        <f t="shared" si="24"/>
        <v>97.013920841905232</v>
      </c>
      <c r="L28" s="168">
        <f t="shared" si="24"/>
        <v>122.22988100155136</v>
      </c>
      <c r="M28" s="168">
        <f t="shared" si="24"/>
        <v>154</v>
      </c>
    </row>
    <row r="29" spans="2:13" x14ac:dyDescent="0.2">
      <c r="B29" s="46">
        <v>2014</v>
      </c>
      <c r="C29" s="46">
        <v>143</v>
      </c>
      <c r="D29" s="165"/>
      <c r="E29" s="168">
        <f>$C$29*(E3/1440)^(1/3)</f>
        <v>21.65402039791633</v>
      </c>
      <c r="F29" s="168">
        <f t="shared" ref="F29:M29" si="25">$C$29*(F3/1440)^(1/3)</f>
        <v>27.282356114187742</v>
      </c>
      <c r="G29" s="168">
        <f t="shared" si="25"/>
        <v>31.230501614322691</v>
      </c>
      <c r="H29" s="168">
        <f t="shared" si="25"/>
        <v>39.347966382660971</v>
      </c>
      <c r="I29" s="168">
        <f t="shared" si="25"/>
        <v>49.575331116070387</v>
      </c>
      <c r="J29" s="168">
        <f t="shared" si="25"/>
        <v>62.461003228645367</v>
      </c>
      <c r="K29" s="168">
        <f t="shared" si="25"/>
        <v>90.084355067483429</v>
      </c>
      <c r="L29" s="168">
        <f t="shared" si="25"/>
        <v>113.49917521572627</v>
      </c>
      <c r="M29" s="168">
        <f t="shared" si="25"/>
        <v>143</v>
      </c>
    </row>
    <row r="30" spans="2:13" x14ac:dyDescent="0.2">
      <c r="B30" s="46">
        <v>2015</v>
      </c>
      <c r="C30" s="46">
        <v>75</v>
      </c>
      <c r="D30" s="165"/>
      <c r="E30" s="168">
        <f>$C$30*(E3/1440)^(1/3)</f>
        <v>11.357003705200873</v>
      </c>
      <c r="F30" s="168">
        <f t="shared" ref="F30:M30" si="26">$C$30*(F3/1440)^(1/3)</f>
        <v>14.308928031916649</v>
      </c>
      <c r="G30" s="168">
        <f t="shared" si="26"/>
        <v>16.379633713805607</v>
      </c>
      <c r="H30" s="168">
        <f t="shared" si="26"/>
        <v>20.637045305591418</v>
      </c>
      <c r="I30" s="168">
        <f t="shared" si="26"/>
        <v>26.001047788148803</v>
      </c>
      <c r="J30" s="168">
        <f t="shared" si="26"/>
        <v>32.759267427611206</v>
      </c>
      <c r="K30" s="168">
        <f t="shared" si="26"/>
        <v>47.247039371057745</v>
      </c>
      <c r="L30" s="168">
        <f t="shared" si="26"/>
        <v>59.527539448807481</v>
      </c>
      <c r="M30" s="168">
        <f t="shared" si="26"/>
        <v>75</v>
      </c>
    </row>
    <row r="31" spans="2:13" x14ac:dyDescent="0.2">
      <c r="B31" s="46">
        <v>2016</v>
      </c>
      <c r="C31" s="46">
        <v>114</v>
      </c>
      <c r="D31" s="165"/>
      <c r="E31" s="168">
        <f>$C$31*(E3/1440)^(1/3)</f>
        <v>17.262645631905325</v>
      </c>
      <c r="F31" s="168">
        <f t="shared" ref="F31:M31" si="27">$C$31*(F3/1440)^(1/3)</f>
        <v>21.749570608513306</v>
      </c>
      <c r="G31" s="168">
        <f t="shared" si="27"/>
        <v>24.897043244984523</v>
      </c>
      <c r="H31" s="168">
        <f t="shared" si="27"/>
        <v>31.368308864498953</v>
      </c>
      <c r="I31" s="168">
        <f t="shared" si="27"/>
        <v>39.521592637986181</v>
      </c>
      <c r="J31" s="168">
        <f t="shared" si="27"/>
        <v>49.794086489969033</v>
      </c>
      <c r="K31" s="168">
        <f t="shared" si="27"/>
        <v>71.815499844007775</v>
      </c>
      <c r="L31" s="168">
        <f t="shared" si="27"/>
        <v>90.481859962187372</v>
      </c>
      <c r="M31" s="168">
        <f t="shared" si="27"/>
        <v>114</v>
      </c>
    </row>
    <row r="32" spans="2:13" x14ac:dyDescent="0.2">
      <c r="B32" s="46">
        <v>2017</v>
      </c>
      <c r="C32" s="46">
        <v>55</v>
      </c>
      <c r="D32" s="165"/>
      <c r="E32" s="168">
        <f>$C$32*(E3/1440)^(1/3)</f>
        <v>8.3284693838139727</v>
      </c>
      <c r="F32" s="168">
        <f t="shared" ref="F32:M32" si="28">$C$32*(F3/1440)^(1/3)</f>
        <v>10.493213890072209</v>
      </c>
      <c r="G32" s="168">
        <f t="shared" si="28"/>
        <v>12.011731390124112</v>
      </c>
      <c r="H32" s="168">
        <f t="shared" si="28"/>
        <v>15.133833224100373</v>
      </c>
      <c r="I32" s="168">
        <f t="shared" si="28"/>
        <v>19.067435044642455</v>
      </c>
      <c r="J32" s="168">
        <f t="shared" si="28"/>
        <v>24.023462780248217</v>
      </c>
      <c r="K32" s="168">
        <f t="shared" si="28"/>
        <v>34.64782887210901</v>
      </c>
      <c r="L32" s="168">
        <f t="shared" si="28"/>
        <v>43.653528929125486</v>
      </c>
      <c r="M32" s="168">
        <f t="shared" si="28"/>
        <v>55</v>
      </c>
    </row>
    <row r="33" spans="2:13" x14ac:dyDescent="0.2">
      <c r="B33" s="46">
        <v>2018</v>
      </c>
      <c r="C33" s="46">
        <v>64</v>
      </c>
      <c r="D33" s="165"/>
      <c r="E33" s="168">
        <f>$C$33*(E3/1440)^(1/3)</f>
        <v>9.6913098284380776</v>
      </c>
      <c r="F33" s="168">
        <f t="shared" ref="F33:M33" si="29">$C$33*(F3/1440)^(1/3)</f>
        <v>12.210285253902207</v>
      </c>
      <c r="G33" s="168">
        <f t="shared" si="29"/>
        <v>13.977287435780784</v>
      </c>
      <c r="H33" s="168">
        <f t="shared" si="29"/>
        <v>17.610278660771343</v>
      </c>
      <c r="I33" s="168">
        <f t="shared" si="29"/>
        <v>22.187560779220313</v>
      </c>
      <c r="J33" s="168">
        <f t="shared" si="29"/>
        <v>27.954574871561562</v>
      </c>
      <c r="K33" s="168">
        <f t="shared" si="29"/>
        <v>40.317473596635942</v>
      </c>
      <c r="L33" s="168">
        <f t="shared" si="29"/>
        <v>50.796833662982387</v>
      </c>
      <c r="M33" s="168">
        <f t="shared" si="29"/>
        <v>64</v>
      </c>
    </row>
    <row r="34" spans="2:13" x14ac:dyDescent="0.2">
      <c r="B34" s="46">
        <v>2019</v>
      </c>
      <c r="C34" s="46">
        <v>125</v>
      </c>
      <c r="D34" s="165"/>
      <c r="E34" s="168">
        <f>$C$34*(E3/1440)^(1/3)</f>
        <v>18.92833950866812</v>
      </c>
      <c r="F34" s="168">
        <f t="shared" ref="F34:M34" si="30">$C$34*(F3/1440)^(1/3)</f>
        <v>23.848213386527746</v>
      </c>
      <c r="G34" s="168">
        <f t="shared" si="30"/>
        <v>27.299389523009346</v>
      </c>
      <c r="H34" s="168">
        <f t="shared" si="30"/>
        <v>34.395075509319028</v>
      </c>
      <c r="I34" s="168">
        <f t="shared" si="30"/>
        <v>43.335079646914672</v>
      </c>
      <c r="J34" s="168">
        <f t="shared" si="30"/>
        <v>54.598779046018677</v>
      </c>
      <c r="K34" s="168">
        <f t="shared" si="30"/>
        <v>78.745065618429578</v>
      </c>
      <c r="L34" s="168">
        <f t="shared" si="30"/>
        <v>99.21256574801248</v>
      </c>
      <c r="M34" s="168">
        <f t="shared" si="30"/>
        <v>125</v>
      </c>
    </row>
    <row r="35" spans="2:13" x14ac:dyDescent="0.2">
      <c r="B35" s="46">
        <v>2020</v>
      </c>
      <c r="C35" s="46">
        <v>30</v>
      </c>
      <c r="D35" s="165"/>
      <c r="E35" s="168">
        <f>$C$35*(E3/1440)^(1/3)</f>
        <v>4.5428014820803488</v>
      </c>
      <c r="F35" s="168">
        <f t="shared" ref="F35:M35" si="31">$C$35*(F3/1440)^(1/3)</f>
        <v>5.7235712127666591</v>
      </c>
      <c r="G35" s="168">
        <f t="shared" si="31"/>
        <v>6.5518534855222423</v>
      </c>
      <c r="H35" s="168">
        <f t="shared" si="31"/>
        <v>8.2548181222365677</v>
      </c>
      <c r="I35" s="168">
        <f t="shared" si="31"/>
        <v>10.400419115259522</v>
      </c>
      <c r="J35" s="168">
        <f t="shared" si="31"/>
        <v>13.103706971044481</v>
      </c>
      <c r="K35" s="168">
        <f t="shared" si="31"/>
        <v>18.898815748423097</v>
      </c>
      <c r="L35" s="168">
        <f t="shared" si="31"/>
        <v>23.811015779522993</v>
      </c>
      <c r="M35" s="168">
        <f t="shared" si="31"/>
        <v>30</v>
      </c>
    </row>
    <row r="36" spans="2:13" x14ac:dyDescent="0.2">
      <c r="B36" s="46">
        <v>2021</v>
      </c>
      <c r="C36" s="46">
        <v>119</v>
      </c>
      <c r="D36" s="165"/>
      <c r="E36" s="168">
        <f>$C$36*(E3/1440)^(1/3)</f>
        <v>18.01977921225205</v>
      </c>
      <c r="F36" s="168">
        <f t="shared" ref="F36:M36" si="32">$C$36*(F3/1440)^(1/3)</f>
        <v>22.703499143974415</v>
      </c>
      <c r="G36" s="168">
        <f t="shared" si="32"/>
        <v>25.989018825904896</v>
      </c>
      <c r="H36" s="168">
        <f t="shared" si="32"/>
        <v>32.744111884871714</v>
      </c>
      <c r="I36" s="168">
        <f t="shared" si="32"/>
        <v>41.254995823862771</v>
      </c>
      <c r="J36" s="168">
        <f t="shared" si="32"/>
        <v>51.978037651809778</v>
      </c>
      <c r="K36" s="168">
        <f t="shared" si="32"/>
        <v>74.965302468744952</v>
      </c>
      <c r="L36" s="168">
        <f t="shared" si="32"/>
        <v>94.450362592107879</v>
      </c>
      <c r="M36" s="168">
        <f t="shared" si="32"/>
        <v>119</v>
      </c>
    </row>
    <row r="38" spans="2:13" ht="15" x14ac:dyDescent="0.25">
      <c r="D38" s="169" t="s">
        <v>145</v>
      </c>
      <c r="E38" s="168">
        <f>AVERAGE(E5:E36)</f>
        <v>15.790020818130946</v>
      </c>
      <c r="F38" s="168">
        <f t="shared" ref="F38:M38" si="33">AVERAGE(F5:F36)</f>
        <v>19.894179607041444</v>
      </c>
      <c r="G38" s="168">
        <f t="shared" si="33"/>
        <v>22.77315074009439</v>
      </c>
      <c r="H38" s="168">
        <f t="shared" si="33"/>
        <v>28.692371989873934</v>
      </c>
      <c r="I38" s="168">
        <f t="shared" si="33"/>
        <v>36.150123441456216</v>
      </c>
      <c r="J38" s="168">
        <f t="shared" si="33"/>
        <v>45.546301480188774</v>
      </c>
      <c r="K38" s="168">
        <f t="shared" si="33"/>
        <v>65.689133738893943</v>
      </c>
      <c r="L38" s="168">
        <f t="shared" si="33"/>
        <v>82.763122346992006</v>
      </c>
      <c r="M38" s="168">
        <f t="shared" si="33"/>
        <v>104.27500000000001</v>
      </c>
    </row>
    <row r="39" spans="2:13" ht="30" x14ac:dyDescent="0.2">
      <c r="D39" s="170" t="s">
        <v>146</v>
      </c>
      <c r="E39" s="168">
        <f>STDEV(E5:E36)</f>
        <v>6.6254526380382552</v>
      </c>
      <c r="F39" s="168">
        <f t="shared" ref="F39:M39" si="34">STDEV(F5:F36)</f>
        <v>8.3475472437459199</v>
      </c>
      <c r="G39" s="168">
        <f t="shared" si="34"/>
        <v>9.5555562203027726</v>
      </c>
      <c r="H39" s="168">
        <f t="shared" si="34"/>
        <v>12.039246425413333</v>
      </c>
      <c r="I39" s="168">
        <f t="shared" si="34"/>
        <v>15.168499996249874</v>
      </c>
      <c r="J39" s="168">
        <f t="shared" si="34"/>
        <v>19.111112440605517</v>
      </c>
      <c r="K39" s="168">
        <f t="shared" si="34"/>
        <v>27.562993705559876</v>
      </c>
      <c r="L39" s="168">
        <f t="shared" si="34"/>
        <v>34.727195967754774</v>
      </c>
      <c r="M39" s="168">
        <f t="shared" si="34"/>
        <v>43.753525203598549</v>
      </c>
    </row>
    <row r="40" spans="2:13" ht="15" x14ac:dyDescent="0.2">
      <c r="H40" s="171" t="s">
        <v>147</v>
      </c>
      <c r="I40" s="171"/>
      <c r="J40" s="171"/>
      <c r="K40" s="171"/>
      <c r="L40" s="171"/>
      <c r="M40" s="171"/>
    </row>
    <row r="41" spans="2:13" ht="15" x14ac:dyDescent="0.2">
      <c r="H41" s="172" t="s">
        <v>148</v>
      </c>
      <c r="I41" s="46">
        <v>2</v>
      </c>
      <c r="J41" s="46">
        <v>5</v>
      </c>
      <c r="K41" s="46">
        <v>10</v>
      </c>
      <c r="L41" s="46">
        <v>50</v>
      </c>
      <c r="M41" s="46">
        <v>100</v>
      </c>
    </row>
    <row r="42" spans="2:13" ht="18" x14ac:dyDescent="0.2">
      <c r="H42" s="172" t="s">
        <v>149</v>
      </c>
      <c r="I42" s="173">
        <f>-((SQRT(6)/PI()*(0.5772+LN(LN(I41/(I41-1))))))</f>
        <v>-0.16427204188374181</v>
      </c>
      <c r="J42" s="173">
        <f t="shared" ref="J42:M42" si="35">-((SQRT(6)/PI()*(0.5772+LN(LN(J41/(J41-1))))))</f>
        <v>0.7194574160467988</v>
      </c>
      <c r="K42" s="173">
        <f t="shared" si="35"/>
        <v>1.3045632130342124</v>
      </c>
      <c r="L42" s="173">
        <f t="shared" si="35"/>
        <v>2.5922880965305142</v>
      </c>
      <c r="M42" s="173">
        <f t="shared" si="35"/>
        <v>3.1366806436431842</v>
      </c>
    </row>
    <row r="45" spans="2:13" ht="15" x14ac:dyDescent="0.25">
      <c r="G45" s="42"/>
      <c r="H45" s="174" t="s">
        <v>150</v>
      </c>
      <c r="I45" s="175" t="s">
        <v>151</v>
      </c>
      <c r="J45" s="175"/>
      <c r="K45" s="175"/>
      <c r="L45" s="175"/>
      <c r="M45" s="175"/>
    </row>
    <row r="46" spans="2:13" ht="15" x14ac:dyDescent="0.2">
      <c r="G46" s="42"/>
      <c r="H46" s="174"/>
      <c r="I46" s="172">
        <v>2</v>
      </c>
      <c r="J46" s="172">
        <v>5</v>
      </c>
      <c r="K46" s="172">
        <v>10</v>
      </c>
      <c r="L46" s="172">
        <v>50</v>
      </c>
      <c r="M46" s="172">
        <v>100</v>
      </c>
    </row>
    <row r="47" spans="2:13" ht="15" x14ac:dyDescent="0.25">
      <c r="G47" s="42">
        <v>1</v>
      </c>
      <c r="H47" s="176" t="s">
        <v>135</v>
      </c>
      <c r="I47" s="168">
        <f>$J$39+I42*$J$40</f>
        <v>19.111112440605517</v>
      </c>
      <c r="J47" s="168">
        <f t="shared" ref="J47:M47" si="36">$J$39+J42*$J$40</f>
        <v>19.111112440605517</v>
      </c>
      <c r="K47" s="168">
        <f t="shared" si="36"/>
        <v>19.111112440605517</v>
      </c>
      <c r="L47" s="168">
        <f t="shared" si="36"/>
        <v>19.111112440605517</v>
      </c>
      <c r="M47" s="168">
        <f t="shared" si="36"/>
        <v>19.111112440605517</v>
      </c>
    </row>
    <row r="48" spans="2:13" ht="15" x14ac:dyDescent="0.25">
      <c r="G48" s="42">
        <v>2</v>
      </c>
      <c r="H48" s="177" t="s">
        <v>136</v>
      </c>
      <c r="I48" s="168">
        <f>$K$39+I42*$K$40</f>
        <v>27.562993705559876</v>
      </c>
      <c r="J48" s="168">
        <f t="shared" ref="J48:M48" si="37">$K$39+J42*$K$40</f>
        <v>27.562993705559876</v>
      </c>
      <c r="K48" s="168">
        <f t="shared" si="37"/>
        <v>27.562993705559876</v>
      </c>
      <c r="L48" s="168">
        <f t="shared" si="37"/>
        <v>27.562993705559876</v>
      </c>
      <c r="M48" s="168">
        <f t="shared" si="37"/>
        <v>27.562993705559876</v>
      </c>
    </row>
    <row r="49" spans="7:13" ht="15" x14ac:dyDescent="0.25">
      <c r="G49" s="42">
        <v>6</v>
      </c>
      <c r="H49" s="177" t="s">
        <v>137</v>
      </c>
      <c r="I49" s="168">
        <f>$L$39+I42*$L$40</f>
        <v>34.727195967754774</v>
      </c>
      <c r="J49" s="168">
        <f t="shared" ref="J49:M49" si="38">$L$39+J42*$L$40</f>
        <v>34.727195967754774</v>
      </c>
      <c r="K49" s="168">
        <f t="shared" si="38"/>
        <v>34.727195967754774</v>
      </c>
      <c r="L49" s="168">
        <f t="shared" si="38"/>
        <v>34.727195967754774</v>
      </c>
      <c r="M49" s="168">
        <f t="shared" si="38"/>
        <v>34.727195967754774</v>
      </c>
    </row>
    <row r="50" spans="7:13" ht="15" x14ac:dyDescent="0.25">
      <c r="G50" s="42">
        <v>12</v>
      </c>
      <c r="H50" s="177" t="s">
        <v>138</v>
      </c>
      <c r="I50" s="168">
        <f>$M$39+I42*$M$40</f>
        <v>43.753525203598549</v>
      </c>
      <c r="J50" s="168">
        <f t="shared" ref="J50:M50" si="39">$M$39+J42*$M$40</f>
        <v>43.753525203598549</v>
      </c>
      <c r="K50" s="168">
        <f t="shared" si="39"/>
        <v>43.753525203598549</v>
      </c>
      <c r="L50" s="168">
        <f t="shared" si="39"/>
        <v>43.753525203598549</v>
      </c>
      <c r="M50" s="168">
        <f t="shared" si="39"/>
        <v>43.753525203598549</v>
      </c>
    </row>
    <row r="51" spans="7:13" ht="15" x14ac:dyDescent="0.25">
      <c r="G51" s="42">
        <v>24</v>
      </c>
      <c r="H51" s="177" t="s">
        <v>139</v>
      </c>
      <c r="I51" s="168">
        <f>$N$39+I42*$N$40</f>
        <v>0</v>
      </c>
      <c r="J51" s="168">
        <f t="shared" ref="J51:M51" si="40">$N$39+J42*$N$40</f>
        <v>0</v>
      </c>
      <c r="K51" s="168">
        <f t="shared" si="40"/>
        <v>0</v>
      </c>
      <c r="L51" s="168">
        <f t="shared" si="40"/>
        <v>0</v>
      </c>
      <c r="M51" s="168">
        <f t="shared" si="40"/>
        <v>0</v>
      </c>
    </row>
  </sheetData>
  <mergeCells count="4">
    <mergeCell ref="G1:J1"/>
    <mergeCell ref="H40:M40"/>
    <mergeCell ref="H45:H46"/>
    <mergeCell ref="I45:M45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4788-4CA1-46E7-B85D-3831497E5C8C}">
  <dimension ref="B1:S51"/>
  <sheetViews>
    <sheetView topLeftCell="A37" workbookViewId="0">
      <selection activeCell="U49" sqref="U49"/>
    </sheetView>
  </sheetViews>
  <sheetFormatPr defaultRowHeight="12.75" x14ac:dyDescent="0.2"/>
  <cols>
    <col min="3" max="3" width="30.83203125" customWidth="1"/>
    <col min="4" max="5" width="12.33203125" customWidth="1"/>
    <col min="6" max="6" width="13.1640625" customWidth="1"/>
    <col min="14" max="14" width="11.6640625" customWidth="1"/>
  </cols>
  <sheetData>
    <row r="1" spans="2:19" ht="18.75" x14ac:dyDescent="0.2">
      <c r="I1" s="162" t="s">
        <v>134</v>
      </c>
      <c r="J1" s="162"/>
      <c r="K1" s="162"/>
      <c r="L1" s="162"/>
    </row>
    <row r="2" spans="2:19" ht="18.75" customHeight="1" x14ac:dyDescent="0.2">
      <c r="B2" s="160" t="s">
        <v>132</v>
      </c>
      <c r="C2" s="159"/>
      <c r="D2" s="159"/>
      <c r="E2" s="159"/>
      <c r="F2" s="159"/>
      <c r="G2" s="183" t="s">
        <v>153</v>
      </c>
      <c r="H2" s="183"/>
      <c r="I2" s="183"/>
      <c r="J2" s="183"/>
      <c r="K2" s="183"/>
      <c r="L2" s="183"/>
      <c r="N2" s="182" t="s">
        <v>152</v>
      </c>
      <c r="O2" s="182"/>
      <c r="P2" s="182"/>
      <c r="Q2" s="182"/>
      <c r="R2" s="182"/>
      <c r="S2" s="182"/>
    </row>
    <row r="3" spans="2:19" ht="15" x14ac:dyDescent="0.2">
      <c r="D3" s="34"/>
      <c r="E3" s="164"/>
      <c r="F3" s="167" t="s">
        <v>144</v>
      </c>
      <c r="G3" s="108">
        <v>60</v>
      </c>
      <c r="H3" s="108">
        <v>120</v>
      </c>
      <c r="I3" s="108">
        <v>360</v>
      </c>
      <c r="J3" s="108">
        <v>720</v>
      </c>
      <c r="K3" s="108">
        <v>1440</v>
      </c>
      <c r="O3" s="181">
        <v>1</v>
      </c>
      <c r="P3" s="181">
        <v>2</v>
      </c>
      <c r="Q3" s="181">
        <v>6</v>
      </c>
      <c r="R3" s="181">
        <v>12</v>
      </c>
      <c r="S3" s="181">
        <v>24</v>
      </c>
    </row>
    <row r="4" spans="2:19" ht="15" x14ac:dyDescent="0.2">
      <c r="B4" s="108" t="s">
        <v>131</v>
      </c>
      <c r="C4" s="108" t="s">
        <v>133</v>
      </c>
      <c r="E4" s="178"/>
      <c r="F4" s="108" t="s">
        <v>131</v>
      </c>
      <c r="G4" s="163" t="s">
        <v>135</v>
      </c>
      <c r="H4" s="163" t="s">
        <v>136</v>
      </c>
      <c r="I4" s="163" t="s">
        <v>137</v>
      </c>
      <c r="J4" s="163" t="s">
        <v>138</v>
      </c>
      <c r="K4" s="163" t="s">
        <v>139</v>
      </c>
      <c r="N4" s="108" t="s">
        <v>131</v>
      </c>
      <c r="O4" s="163" t="s">
        <v>135</v>
      </c>
      <c r="P4" s="163" t="s">
        <v>136</v>
      </c>
      <c r="Q4" s="163" t="s">
        <v>137</v>
      </c>
      <c r="R4" s="163" t="s">
        <v>138</v>
      </c>
      <c r="S4" s="163" t="s">
        <v>139</v>
      </c>
    </row>
    <row r="5" spans="2:19" x14ac:dyDescent="0.2">
      <c r="B5" s="46">
        <v>1990</v>
      </c>
      <c r="C5" s="46">
        <v>80.400000000000006</v>
      </c>
      <c r="D5" s="165"/>
      <c r="E5" s="179"/>
      <c r="F5" s="46">
        <v>1990</v>
      </c>
      <c r="G5" s="168">
        <f t="shared" ref="G5:K5" si="0">$C$5*(G3/1440)^(1/3)</f>
        <v>27.873123228895519</v>
      </c>
      <c r="H5" s="168">
        <f t="shared" si="0"/>
        <v>35.117934682399216</v>
      </c>
      <c r="I5" s="168">
        <f t="shared" si="0"/>
        <v>50.648826205773908</v>
      </c>
      <c r="J5" s="168">
        <f t="shared" si="0"/>
        <v>63.813522289121629</v>
      </c>
      <c r="K5" s="168">
        <f t="shared" si="0"/>
        <v>80.400000000000006</v>
      </c>
      <c r="N5" s="46">
        <v>1990</v>
      </c>
      <c r="O5" s="168">
        <f>G5/1</f>
        <v>27.873123228895519</v>
      </c>
      <c r="P5" s="168">
        <f>H5/2</f>
        <v>17.558967341199608</v>
      </c>
      <c r="Q5" s="168">
        <f>I5/6</f>
        <v>8.4414710342956507</v>
      </c>
      <c r="R5" s="168">
        <f>J5/12</f>
        <v>5.3177935240934691</v>
      </c>
      <c r="S5" s="168">
        <f>K5/24</f>
        <v>3.35</v>
      </c>
    </row>
    <row r="6" spans="2:19" x14ac:dyDescent="0.2">
      <c r="B6" s="46">
        <v>1991</v>
      </c>
      <c r="C6" s="46">
        <v>192</v>
      </c>
      <c r="D6" s="165"/>
      <c r="E6" s="179"/>
      <c r="F6" s="46">
        <v>1991</v>
      </c>
      <c r="G6" s="168">
        <f t="shared" ref="G6:K6" si="1">$C$6*(G3/1440)^(1/3)</f>
        <v>66.562682337660931</v>
      </c>
      <c r="H6" s="168">
        <f t="shared" si="1"/>
        <v>83.863724614684685</v>
      </c>
      <c r="I6" s="168">
        <f t="shared" si="1"/>
        <v>120.95242078990782</v>
      </c>
      <c r="J6" s="168">
        <f t="shared" si="1"/>
        <v>152.39050098894717</v>
      </c>
      <c r="K6" s="168">
        <f t="shared" si="1"/>
        <v>192</v>
      </c>
      <c r="N6" s="46">
        <v>1991</v>
      </c>
      <c r="O6" s="168">
        <f t="shared" ref="O6:O36" si="2">G6/1</f>
        <v>66.562682337660931</v>
      </c>
      <c r="P6" s="168">
        <f t="shared" ref="P6:P36" si="3">H6/2</f>
        <v>41.931862307342342</v>
      </c>
      <c r="Q6" s="168">
        <f t="shared" ref="Q6:Q36" si="4">I6/6</f>
        <v>20.158736798317971</v>
      </c>
      <c r="R6" s="168">
        <f t="shared" ref="R6:R36" si="5">J6/12</f>
        <v>12.699208415745597</v>
      </c>
      <c r="S6" s="168">
        <f t="shared" ref="S6:S36" si="6">K6/24</f>
        <v>8</v>
      </c>
    </row>
    <row r="7" spans="2:19" x14ac:dyDescent="0.2">
      <c r="B7" s="46">
        <v>1992</v>
      </c>
      <c r="C7" s="46">
        <v>100.2</v>
      </c>
      <c r="D7" s="165"/>
      <c r="E7" s="179"/>
      <c r="F7" s="46">
        <v>1992</v>
      </c>
      <c r="G7" s="168">
        <f t="shared" ref="G7:K7" si="7">$C$7*(G3/1440)^(1/3)</f>
        <v>34.737399844966802</v>
      </c>
      <c r="H7" s="168">
        <f t="shared" si="7"/>
        <v>43.766381283288574</v>
      </c>
      <c r="I7" s="168">
        <f t="shared" si="7"/>
        <v>63.122044599733151</v>
      </c>
      <c r="J7" s="168">
        <f t="shared" si="7"/>
        <v>79.528792703606797</v>
      </c>
      <c r="K7" s="168">
        <f t="shared" si="7"/>
        <v>100.2</v>
      </c>
      <c r="N7" s="46">
        <v>1992</v>
      </c>
      <c r="O7" s="168">
        <f t="shared" si="2"/>
        <v>34.737399844966802</v>
      </c>
      <c r="P7" s="168">
        <f t="shared" si="3"/>
        <v>21.883190641644287</v>
      </c>
      <c r="Q7" s="168">
        <f t="shared" si="4"/>
        <v>10.520340766622192</v>
      </c>
      <c r="R7" s="168">
        <f t="shared" si="5"/>
        <v>6.6273993919672334</v>
      </c>
      <c r="S7" s="168">
        <f t="shared" si="6"/>
        <v>4.1749999999999998</v>
      </c>
    </row>
    <row r="8" spans="2:19" x14ac:dyDescent="0.2">
      <c r="B8" s="46">
        <v>1993</v>
      </c>
      <c r="C8" s="46">
        <v>114</v>
      </c>
      <c r="D8" s="165"/>
      <c r="E8" s="179"/>
      <c r="F8" s="46">
        <v>1993</v>
      </c>
      <c r="G8" s="168">
        <f t="shared" ref="G8:K8" si="8">$C$8*(G3/1440)^(1/3)</f>
        <v>39.521592637986181</v>
      </c>
      <c r="H8" s="168">
        <f t="shared" si="8"/>
        <v>49.794086489969033</v>
      </c>
      <c r="I8" s="168">
        <f t="shared" si="8"/>
        <v>71.815499844007775</v>
      </c>
      <c r="J8" s="168">
        <f t="shared" si="8"/>
        <v>90.481859962187372</v>
      </c>
      <c r="K8" s="168">
        <f t="shared" si="8"/>
        <v>114</v>
      </c>
      <c r="N8" s="46">
        <v>1993</v>
      </c>
      <c r="O8" s="168">
        <f t="shared" si="2"/>
        <v>39.521592637986181</v>
      </c>
      <c r="P8" s="168">
        <f t="shared" si="3"/>
        <v>24.897043244984516</v>
      </c>
      <c r="Q8" s="168">
        <f t="shared" si="4"/>
        <v>11.969249974001295</v>
      </c>
      <c r="R8" s="168">
        <f t="shared" si="5"/>
        <v>7.5401549968489476</v>
      </c>
      <c r="S8" s="168">
        <f t="shared" si="6"/>
        <v>4.75</v>
      </c>
    </row>
    <row r="9" spans="2:19" x14ac:dyDescent="0.2">
      <c r="B9" s="46">
        <v>1994</v>
      </c>
      <c r="C9" s="46">
        <v>124.4</v>
      </c>
      <c r="D9" s="165"/>
      <c r="E9" s="179"/>
      <c r="F9" s="46">
        <v>1994</v>
      </c>
      <c r="G9" s="168">
        <f t="shared" ref="G9:K9" si="9">$C$9*(G3/1440)^(1/3)</f>
        <v>43.127071264609484</v>
      </c>
      <c r="H9" s="168">
        <f t="shared" si="9"/>
        <v>54.336704906597788</v>
      </c>
      <c r="I9" s="168">
        <f t="shared" si="9"/>
        <v>78.367089303461114</v>
      </c>
      <c r="J9" s="168">
        <f t="shared" si="9"/>
        <v>98.736345432422013</v>
      </c>
      <c r="K9" s="168">
        <f t="shared" si="9"/>
        <v>124.4</v>
      </c>
      <c r="N9" s="46">
        <v>1994</v>
      </c>
      <c r="O9" s="168">
        <f t="shared" si="2"/>
        <v>43.127071264609484</v>
      </c>
      <c r="P9" s="168">
        <f t="shared" si="3"/>
        <v>27.168352453298894</v>
      </c>
      <c r="Q9" s="168">
        <f t="shared" si="4"/>
        <v>13.061181550576853</v>
      </c>
      <c r="R9" s="168">
        <f t="shared" si="5"/>
        <v>8.2280287860351677</v>
      </c>
      <c r="S9" s="168">
        <f t="shared" si="6"/>
        <v>5.1833333333333336</v>
      </c>
    </row>
    <row r="10" spans="2:19" x14ac:dyDescent="0.2">
      <c r="B10" s="46">
        <v>1995</v>
      </c>
      <c r="C10" s="46">
        <v>123</v>
      </c>
      <c r="D10" s="165"/>
      <c r="E10" s="179"/>
      <c r="F10" s="46">
        <v>1995</v>
      </c>
      <c r="G10" s="168">
        <f t="shared" ref="G10:K10" si="10">$C$10*(G3/1440)^(1/3)</f>
        <v>42.641718372564036</v>
      </c>
      <c r="H10" s="168">
        <f t="shared" si="10"/>
        <v>53.725198581282378</v>
      </c>
      <c r="I10" s="168">
        <f t="shared" si="10"/>
        <v>77.485144568534707</v>
      </c>
      <c r="J10" s="168">
        <f t="shared" si="10"/>
        <v>97.62516469604428</v>
      </c>
      <c r="K10" s="168">
        <f t="shared" si="10"/>
        <v>123</v>
      </c>
      <c r="N10" s="46">
        <v>1995</v>
      </c>
      <c r="O10" s="168">
        <f t="shared" si="2"/>
        <v>42.641718372564036</v>
      </c>
      <c r="P10" s="168">
        <f t="shared" si="3"/>
        <v>26.862599290641189</v>
      </c>
      <c r="Q10" s="168">
        <f t="shared" si="4"/>
        <v>12.914190761422452</v>
      </c>
      <c r="R10" s="168">
        <f t="shared" si="5"/>
        <v>8.1354303913370227</v>
      </c>
      <c r="S10" s="168">
        <f t="shared" si="6"/>
        <v>5.125</v>
      </c>
    </row>
    <row r="11" spans="2:19" x14ac:dyDescent="0.2">
      <c r="B11" s="46">
        <v>1996</v>
      </c>
      <c r="C11" s="46">
        <v>89</v>
      </c>
      <c r="D11" s="165"/>
      <c r="E11" s="179"/>
      <c r="F11" s="46">
        <v>1996</v>
      </c>
      <c r="G11" s="168">
        <f t="shared" ref="G11:K11" si="11">$C$11*(G3/1440)^(1/3)</f>
        <v>30.854576708603247</v>
      </c>
      <c r="H11" s="168">
        <f t="shared" si="11"/>
        <v>38.874330680765297</v>
      </c>
      <c r="I11" s="168">
        <f t="shared" si="11"/>
        <v>56.066486720321855</v>
      </c>
      <c r="J11" s="168">
        <f t="shared" si="11"/>
        <v>70.639346812584876</v>
      </c>
      <c r="K11" s="168">
        <f t="shared" si="11"/>
        <v>89</v>
      </c>
      <c r="N11" s="46">
        <v>1996</v>
      </c>
      <c r="O11" s="168">
        <f t="shared" si="2"/>
        <v>30.854576708603247</v>
      </c>
      <c r="P11" s="168">
        <f t="shared" si="3"/>
        <v>19.437165340382649</v>
      </c>
      <c r="Q11" s="168">
        <f t="shared" si="4"/>
        <v>9.3444144533869764</v>
      </c>
      <c r="R11" s="168">
        <f t="shared" si="5"/>
        <v>5.8866122343820733</v>
      </c>
      <c r="S11" s="168">
        <f t="shared" si="6"/>
        <v>3.7083333333333335</v>
      </c>
    </row>
    <row r="12" spans="2:19" x14ac:dyDescent="0.2">
      <c r="B12" s="46">
        <v>1997</v>
      </c>
      <c r="C12" s="46">
        <v>175</v>
      </c>
      <c r="D12" s="165"/>
      <c r="E12" s="179"/>
      <c r="F12" s="46">
        <v>1997</v>
      </c>
      <c r="G12" s="168">
        <f t="shared" ref="G12:K12" si="12">$C$12*(G3/1440)^(1/3)</f>
        <v>60.66911150568054</v>
      </c>
      <c r="H12" s="168">
        <f t="shared" si="12"/>
        <v>76.438290664426148</v>
      </c>
      <c r="I12" s="168">
        <f t="shared" si="12"/>
        <v>110.2430918658014</v>
      </c>
      <c r="J12" s="168">
        <f t="shared" si="12"/>
        <v>138.89759204721747</v>
      </c>
      <c r="K12" s="168">
        <f t="shared" si="12"/>
        <v>175</v>
      </c>
      <c r="N12" s="46">
        <v>1997</v>
      </c>
      <c r="O12" s="168">
        <f t="shared" si="2"/>
        <v>60.66911150568054</v>
      </c>
      <c r="P12" s="168">
        <f t="shared" si="3"/>
        <v>38.219145332213074</v>
      </c>
      <c r="Q12" s="168">
        <f t="shared" si="4"/>
        <v>18.373848644300235</v>
      </c>
      <c r="R12" s="168">
        <f t="shared" si="5"/>
        <v>11.574799337268123</v>
      </c>
      <c r="S12" s="168">
        <f t="shared" si="6"/>
        <v>7.291666666666667</v>
      </c>
    </row>
    <row r="13" spans="2:19" x14ac:dyDescent="0.2">
      <c r="B13" s="46">
        <v>1998</v>
      </c>
      <c r="C13" s="46">
        <v>91</v>
      </c>
      <c r="D13" s="165"/>
      <c r="E13" s="179"/>
      <c r="F13" s="46">
        <v>1998</v>
      </c>
      <c r="G13" s="168">
        <f t="shared" ref="G13:K13" si="13">$C$13*(G3/1440)^(1/3)</f>
        <v>31.547937982953883</v>
      </c>
      <c r="H13" s="168">
        <f t="shared" si="13"/>
        <v>39.747911145501597</v>
      </c>
      <c r="I13" s="168">
        <f t="shared" si="13"/>
        <v>57.326407770216733</v>
      </c>
      <c r="J13" s="168">
        <f t="shared" si="13"/>
        <v>72.226747864553076</v>
      </c>
      <c r="K13" s="168">
        <f t="shared" si="13"/>
        <v>91</v>
      </c>
      <c r="N13" s="46">
        <v>1998</v>
      </c>
      <c r="O13" s="168">
        <f t="shared" si="2"/>
        <v>31.547937982953883</v>
      </c>
      <c r="P13" s="168">
        <f t="shared" si="3"/>
        <v>19.873955572750798</v>
      </c>
      <c r="Q13" s="168">
        <f t="shared" si="4"/>
        <v>9.5544012950361221</v>
      </c>
      <c r="R13" s="168">
        <f t="shared" si="5"/>
        <v>6.0188956553794233</v>
      </c>
      <c r="S13" s="168">
        <f t="shared" si="6"/>
        <v>3.7916666666666665</v>
      </c>
    </row>
    <row r="14" spans="2:19" x14ac:dyDescent="0.2">
      <c r="B14" s="46">
        <v>1999</v>
      </c>
      <c r="C14" s="46">
        <v>82</v>
      </c>
      <c r="D14" s="165"/>
      <c r="E14" s="179"/>
      <c r="F14" s="46">
        <v>1999</v>
      </c>
      <c r="G14" s="168">
        <f t="shared" ref="G14:K14" si="14">$C$14*(G3/1440)^(1/3)</f>
        <v>28.427812248376025</v>
      </c>
      <c r="H14" s="168">
        <f t="shared" si="14"/>
        <v>35.816799054188252</v>
      </c>
      <c r="I14" s="168">
        <f t="shared" si="14"/>
        <v>51.6567630456898</v>
      </c>
      <c r="J14" s="168">
        <f t="shared" si="14"/>
        <v>65.083443130696182</v>
      </c>
      <c r="K14" s="168">
        <f t="shared" si="14"/>
        <v>82</v>
      </c>
      <c r="N14" s="46">
        <v>1999</v>
      </c>
      <c r="O14" s="168">
        <f t="shared" si="2"/>
        <v>28.427812248376025</v>
      </c>
      <c r="P14" s="168">
        <f t="shared" si="3"/>
        <v>17.908399527094126</v>
      </c>
      <c r="Q14" s="168">
        <f t="shared" si="4"/>
        <v>8.6094605076149673</v>
      </c>
      <c r="R14" s="168">
        <f t="shared" si="5"/>
        <v>5.4236202608913482</v>
      </c>
      <c r="S14" s="168">
        <f t="shared" si="6"/>
        <v>3.4166666666666665</v>
      </c>
    </row>
    <row r="15" spans="2:19" x14ac:dyDescent="0.2">
      <c r="B15" s="46">
        <v>2000</v>
      </c>
      <c r="C15" s="46">
        <v>79</v>
      </c>
      <c r="D15" s="165"/>
      <c r="E15" s="179"/>
      <c r="F15" s="46">
        <v>2000</v>
      </c>
      <c r="G15" s="168">
        <f t="shared" ref="G15:K15" si="15">$C$15*(G3/1440)^(1/3)</f>
        <v>27.387770336850075</v>
      </c>
      <c r="H15" s="168">
        <f t="shared" si="15"/>
        <v>34.506428357083806</v>
      </c>
      <c r="I15" s="168">
        <f t="shared" si="15"/>
        <v>49.766881470847494</v>
      </c>
      <c r="J15" s="168">
        <f t="shared" si="15"/>
        <v>62.702341552743881</v>
      </c>
      <c r="K15" s="168">
        <f t="shared" si="15"/>
        <v>79</v>
      </c>
      <c r="N15" s="46">
        <v>2000</v>
      </c>
      <c r="O15" s="168">
        <f t="shared" si="2"/>
        <v>27.387770336850075</v>
      </c>
      <c r="P15" s="168">
        <f t="shared" si="3"/>
        <v>17.253214178541903</v>
      </c>
      <c r="Q15" s="168">
        <f t="shared" si="4"/>
        <v>8.2944802451412496</v>
      </c>
      <c r="R15" s="168">
        <f t="shared" si="5"/>
        <v>5.2251951293953232</v>
      </c>
      <c r="S15" s="168">
        <f t="shared" si="6"/>
        <v>3.2916666666666665</v>
      </c>
    </row>
    <row r="16" spans="2:19" x14ac:dyDescent="0.2">
      <c r="B16" s="46">
        <v>2001</v>
      </c>
      <c r="C16" s="46">
        <v>225</v>
      </c>
      <c r="D16" s="165"/>
      <c r="E16" s="179"/>
      <c r="F16" s="46">
        <v>2001</v>
      </c>
      <c r="G16" s="168">
        <f t="shared" ref="G16:K16" si="16">$C$16*(G3/1440)^(1/3)</f>
        <v>78.003143364446416</v>
      </c>
      <c r="H16" s="168">
        <f t="shared" si="16"/>
        <v>98.277802282833619</v>
      </c>
      <c r="I16" s="168">
        <f t="shared" si="16"/>
        <v>141.74111811317323</v>
      </c>
      <c r="J16" s="168">
        <f t="shared" si="16"/>
        <v>178.58261834642246</v>
      </c>
      <c r="K16" s="168">
        <f t="shared" si="16"/>
        <v>225</v>
      </c>
      <c r="N16" s="46">
        <v>2001</v>
      </c>
      <c r="O16" s="168">
        <f t="shared" si="2"/>
        <v>78.003143364446416</v>
      </c>
      <c r="P16" s="168">
        <f t="shared" si="3"/>
        <v>49.13890114141681</v>
      </c>
      <c r="Q16" s="168">
        <f t="shared" si="4"/>
        <v>23.623519685528873</v>
      </c>
      <c r="R16" s="168">
        <f t="shared" si="5"/>
        <v>14.881884862201872</v>
      </c>
      <c r="S16" s="168">
        <f t="shared" si="6"/>
        <v>9.375</v>
      </c>
    </row>
    <row r="17" spans="2:19" x14ac:dyDescent="0.2">
      <c r="B17" s="46">
        <v>2002</v>
      </c>
      <c r="C17" s="46">
        <v>74</v>
      </c>
      <c r="D17" s="165"/>
      <c r="E17" s="179"/>
      <c r="F17" s="46">
        <v>2002</v>
      </c>
      <c r="G17" s="168">
        <f t="shared" ref="G17:K17" si="17">$C$17*(G3/1440)^(1/3)</f>
        <v>25.654367150973485</v>
      </c>
      <c r="H17" s="168">
        <f t="shared" si="17"/>
        <v>32.322477195243053</v>
      </c>
      <c r="I17" s="168">
        <f t="shared" si="17"/>
        <v>46.61707884611031</v>
      </c>
      <c r="J17" s="168">
        <f t="shared" si="17"/>
        <v>58.733838922823388</v>
      </c>
      <c r="K17" s="168">
        <f t="shared" si="17"/>
        <v>74</v>
      </c>
      <c r="N17" s="46">
        <v>2002</v>
      </c>
      <c r="O17" s="168">
        <f t="shared" si="2"/>
        <v>25.654367150973485</v>
      </c>
      <c r="P17" s="168">
        <f t="shared" si="3"/>
        <v>16.161238597621526</v>
      </c>
      <c r="Q17" s="168">
        <f t="shared" si="4"/>
        <v>7.7695131410183853</v>
      </c>
      <c r="R17" s="168">
        <f t="shared" si="5"/>
        <v>4.894486576901949</v>
      </c>
      <c r="S17" s="168">
        <f t="shared" si="6"/>
        <v>3.0833333333333335</v>
      </c>
    </row>
    <row r="18" spans="2:19" x14ac:dyDescent="0.2">
      <c r="B18" s="46">
        <v>2003</v>
      </c>
      <c r="C18" s="46">
        <v>150</v>
      </c>
      <c r="D18" s="165"/>
      <c r="E18" s="179"/>
      <c r="F18" s="46">
        <v>2003</v>
      </c>
      <c r="G18" s="168">
        <f t="shared" ref="G18:K18" si="18">$C$18*(G3/1440)^(1/3)</f>
        <v>52.002095576297606</v>
      </c>
      <c r="H18" s="168">
        <f t="shared" si="18"/>
        <v>65.518534855222413</v>
      </c>
      <c r="I18" s="168">
        <f t="shared" si="18"/>
        <v>94.494078742115491</v>
      </c>
      <c r="J18" s="168">
        <f t="shared" si="18"/>
        <v>119.05507889761496</v>
      </c>
      <c r="K18" s="168">
        <f t="shared" si="18"/>
        <v>150</v>
      </c>
      <c r="N18" s="46">
        <v>2003</v>
      </c>
      <c r="O18" s="168">
        <f t="shared" si="2"/>
        <v>52.002095576297606</v>
      </c>
      <c r="P18" s="168">
        <f t="shared" si="3"/>
        <v>32.759267427611206</v>
      </c>
      <c r="Q18" s="168">
        <f t="shared" si="4"/>
        <v>15.749013123685915</v>
      </c>
      <c r="R18" s="168">
        <f t="shared" si="5"/>
        <v>9.9212565748012462</v>
      </c>
      <c r="S18" s="168">
        <f t="shared" si="6"/>
        <v>6.25</v>
      </c>
    </row>
    <row r="19" spans="2:19" x14ac:dyDescent="0.2">
      <c r="B19" s="46">
        <v>2004</v>
      </c>
      <c r="C19" s="46">
        <v>137</v>
      </c>
      <c r="D19" s="165"/>
      <c r="E19" s="179"/>
      <c r="F19" s="46">
        <v>2004</v>
      </c>
      <c r="G19" s="168">
        <f t="shared" ref="G19:K19" si="19">$C$19*(G3/1440)^(1/3)</f>
        <v>47.49524729301848</v>
      </c>
      <c r="H19" s="168">
        <f t="shared" si="19"/>
        <v>59.840261834436468</v>
      </c>
      <c r="I19" s="168">
        <f t="shared" si="19"/>
        <v>86.304591917798817</v>
      </c>
      <c r="J19" s="168">
        <f t="shared" si="19"/>
        <v>108.73697205982167</v>
      </c>
      <c r="K19" s="168">
        <f t="shared" si="19"/>
        <v>137</v>
      </c>
      <c r="N19" s="46">
        <v>2004</v>
      </c>
      <c r="O19" s="168">
        <f t="shared" si="2"/>
        <v>47.49524729301848</v>
      </c>
      <c r="P19" s="168">
        <f t="shared" si="3"/>
        <v>29.920130917218234</v>
      </c>
      <c r="Q19" s="168">
        <f t="shared" si="4"/>
        <v>14.38409865296647</v>
      </c>
      <c r="R19" s="168">
        <f t="shared" si="5"/>
        <v>9.0614143383184729</v>
      </c>
      <c r="S19" s="168">
        <f t="shared" si="6"/>
        <v>5.708333333333333</v>
      </c>
    </row>
    <row r="20" spans="2:19" x14ac:dyDescent="0.2">
      <c r="B20" s="46">
        <v>2005</v>
      </c>
      <c r="C20" s="46">
        <v>60</v>
      </c>
      <c r="D20" s="165"/>
      <c r="E20" s="179"/>
      <c r="F20" s="46">
        <v>2005</v>
      </c>
      <c r="G20" s="168">
        <f t="shared" ref="G20:K20" si="20">$C$20*(G3/1440)^(1/3)</f>
        <v>20.800838230519044</v>
      </c>
      <c r="H20" s="168">
        <f t="shared" si="20"/>
        <v>26.207413942088962</v>
      </c>
      <c r="I20" s="168">
        <f t="shared" si="20"/>
        <v>37.797631496846193</v>
      </c>
      <c r="J20" s="168">
        <f t="shared" si="20"/>
        <v>47.622031559045986</v>
      </c>
      <c r="K20" s="168">
        <f t="shared" si="20"/>
        <v>60</v>
      </c>
      <c r="N20" s="46">
        <v>2005</v>
      </c>
      <c r="O20" s="168">
        <f t="shared" si="2"/>
        <v>20.800838230519044</v>
      </c>
      <c r="P20" s="168">
        <f t="shared" si="3"/>
        <v>13.103706971044481</v>
      </c>
      <c r="Q20" s="168">
        <f t="shared" si="4"/>
        <v>6.2996052494743653</v>
      </c>
      <c r="R20" s="168">
        <f t="shared" si="5"/>
        <v>3.9685026299204988</v>
      </c>
      <c r="S20" s="168">
        <f t="shared" si="6"/>
        <v>2.5</v>
      </c>
    </row>
    <row r="21" spans="2:19" x14ac:dyDescent="0.2">
      <c r="B21" s="46">
        <v>2006</v>
      </c>
      <c r="C21" s="46">
        <v>81.599999999999994</v>
      </c>
      <c r="D21" s="165"/>
      <c r="E21" s="179"/>
      <c r="F21" s="46">
        <v>2006</v>
      </c>
      <c r="G21" s="168">
        <f t="shared" ref="G21:K21" si="21">$C$21*(G3/1440)^(1/3)</f>
        <v>28.289139993505895</v>
      </c>
      <c r="H21" s="168">
        <f t="shared" si="21"/>
        <v>35.642082961240988</v>
      </c>
      <c r="I21" s="168">
        <f t="shared" si="21"/>
        <v>51.404778835710822</v>
      </c>
      <c r="J21" s="168">
        <f t="shared" si="21"/>
        <v>64.765962920302542</v>
      </c>
      <c r="K21" s="168">
        <f t="shared" si="21"/>
        <v>81.599999999999994</v>
      </c>
      <c r="N21" s="46">
        <v>2006</v>
      </c>
      <c r="O21" s="168">
        <f t="shared" si="2"/>
        <v>28.289139993505895</v>
      </c>
      <c r="P21" s="168">
        <f t="shared" si="3"/>
        <v>17.821041480620494</v>
      </c>
      <c r="Q21" s="168">
        <f t="shared" si="4"/>
        <v>8.5674631392851364</v>
      </c>
      <c r="R21" s="168">
        <f t="shared" si="5"/>
        <v>5.3971635766918782</v>
      </c>
      <c r="S21" s="168">
        <f t="shared" si="6"/>
        <v>3.4</v>
      </c>
    </row>
    <row r="22" spans="2:19" x14ac:dyDescent="0.2">
      <c r="B22" s="46">
        <v>2007</v>
      </c>
      <c r="C22" s="46">
        <v>96</v>
      </c>
      <c r="D22" s="165"/>
      <c r="E22" s="179"/>
      <c r="F22" s="46">
        <v>2007</v>
      </c>
      <c r="G22" s="168">
        <f t="shared" ref="G22:K22" si="22">$C$22*(G3/1440)^(1/3)</f>
        <v>33.281341168830465</v>
      </c>
      <c r="H22" s="168">
        <f t="shared" si="22"/>
        <v>41.931862307342342</v>
      </c>
      <c r="I22" s="168">
        <f t="shared" si="22"/>
        <v>60.47621039495391</v>
      </c>
      <c r="J22" s="168">
        <f t="shared" si="22"/>
        <v>76.195250494473584</v>
      </c>
      <c r="K22" s="168">
        <f t="shared" si="22"/>
        <v>96</v>
      </c>
      <c r="N22" s="46">
        <v>2007</v>
      </c>
      <c r="O22" s="168">
        <f t="shared" si="2"/>
        <v>33.281341168830465</v>
      </c>
      <c r="P22" s="168">
        <f t="shared" si="3"/>
        <v>20.965931153671171</v>
      </c>
      <c r="Q22" s="168">
        <f t="shared" si="4"/>
        <v>10.079368399158986</v>
      </c>
      <c r="R22" s="168">
        <f t="shared" si="5"/>
        <v>6.3496042078727983</v>
      </c>
      <c r="S22" s="168">
        <f t="shared" si="6"/>
        <v>4</v>
      </c>
    </row>
    <row r="23" spans="2:19" x14ac:dyDescent="0.2">
      <c r="B23" s="46">
        <v>2008</v>
      </c>
      <c r="C23" s="161">
        <v>104.4</v>
      </c>
      <c r="D23" s="166"/>
      <c r="E23" s="179"/>
      <c r="F23" s="46">
        <v>2008</v>
      </c>
      <c r="G23" s="168">
        <f t="shared" ref="G23:K23" si="23">$C$23*(G3/1440)^(1/3)</f>
        <v>36.193458521103139</v>
      </c>
      <c r="H23" s="168">
        <f t="shared" si="23"/>
        <v>45.600900259234798</v>
      </c>
      <c r="I23" s="168">
        <f t="shared" si="23"/>
        <v>65.767878804512378</v>
      </c>
      <c r="J23" s="168">
        <f t="shared" si="23"/>
        <v>82.862334912740025</v>
      </c>
      <c r="K23" s="168">
        <f t="shared" si="23"/>
        <v>104.4</v>
      </c>
      <c r="N23" s="46">
        <v>2008</v>
      </c>
      <c r="O23" s="168">
        <f t="shared" si="2"/>
        <v>36.193458521103139</v>
      </c>
      <c r="P23" s="168">
        <f t="shared" si="3"/>
        <v>22.800450129617399</v>
      </c>
      <c r="Q23" s="168">
        <f t="shared" si="4"/>
        <v>10.961313134085396</v>
      </c>
      <c r="R23" s="168">
        <f t="shared" si="5"/>
        <v>6.9051945760616684</v>
      </c>
      <c r="S23" s="168">
        <f t="shared" si="6"/>
        <v>4.3500000000000005</v>
      </c>
    </row>
    <row r="24" spans="2:19" x14ac:dyDescent="0.2">
      <c r="B24" s="46">
        <v>2009</v>
      </c>
      <c r="C24" s="46">
        <v>48</v>
      </c>
      <c r="D24" s="165"/>
      <c r="E24" s="179"/>
      <c r="F24" s="46">
        <v>2009</v>
      </c>
      <c r="G24" s="168">
        <f t="shared" ref="G24:K24" si="24">$C$24*(G3/1440)^(1/3)</f>
        <v>16.640670584415233</v>
      </c>
      <c r="H24" s="168">
        <f t="shared" si="24"/>
        <v>20.965931153671171</v>
      </c>
      <c r="I24" s="168">
        <f t="shared" si="24"/>
        <v>30.238105197476955</v>
      </c>
      <c r="J24" s="168">
        <f t="shared" si="24"/>
        <v>38.097625247236792</v>
      </c>
      <c r="K24" s="168">
        <f t="shared" si="24"/>
        <v>48</v>
      </c>
      <c r="N24" s="46">
        <v>2009</v>
      </c>
      <c r="O24" s="168">
        <f t="shared" si="2"/>
        <v>16.640670584415233</v>
      </c>
      <c r="P24" s="168">
        <f t="shared" si="3"/>
        <v>10.482965576835586</v>
      </c>
      <c r="Q24" s="168">
        <f t="shared" si="4"/>
        <v>5.0396841995794928</v>
      </c>
      <c r="R24" s="168">
        <f t="shared" si="5"/>
        <v>3.1748021039363992</v>
      </c>
      <c r="S24" s="168">
        <f t="shared" si="6"/>
        <v>2</v>
      </c>
    </row>
    <row r="25" spans="2:19" x14ac:dyDescent="0.2">
      <c r="B25" s="46">
        <v>2010</v>
      </c>
      <c r="C25" s="46">
        <v>53</v>
      </c>
      <c r="D25" s="165"/>
      <c r="E25" s="179"/>
      <c r="F25" s="46">
        <v>2010</v>
      </c>
      <c r="G25" s="168">
        <f t="shared" ref="G25:K25" si="25">$C$25*(G3/1440)^(1/3)</f>
        <v>18.374073770291822</v>
      </c>
      <c r="H25" s="168">
        <f t="shared" si="25"/>
        <v>23.149882315511917</v>
      </c>
      <c r="I25" s="168">
        <f t="shared" si="25"/>
        <v>33.387907822214139</v>
      </c>
      <c r="J25" s="168">
        <f t="shared" si="25"/>
        <v>42.066127877157292</v>
      </c>
      <c r="K25" s="168">
        <f t="shared" si="25"/>
        <v>53</v>
      </c>
      <c r="N25" s="46">
        <v>2010</v>
      </c>
      <c r="O25" s="168">
        <f t="shared" si="2"/>
        <v>18.374073770291822</v>
      </c>
      <c r="P25" s="168">
        <f t="shared" si="3"/>
        <v>11.574941157755958</v>
      </c>
      <c r="Q25" s="168">
        <f t="shared" si="4"/>
        <v>5.5646513037023562</v>
      </c>
      <c r="R25" s="168">
        <f t="shared" si="5"/>
        <v>3.5055106564297742</v>
      </c>
      <c r="S25" s="168">
        <f t="shared" si="6"/>
        <v>2.2083333333333335</v>
      </c>
    </row>
    <row r="26" spans="2:19" x14ac:dyDescent="0.2">
      <c r="B26" s="46">
        <v>2011</v>
      </c>
      <c r="C26" s="46">
        <v>112.8</v>
      </c>
      <c r="D26" s="165"/>
      <c r="E26" s="179"/>
      <c r="F26" s="46">
        <v>2011</v>
      </c>
      <c r="G26" s="168">
        <f t="shared" ref="G26:K26" si="26">$C$26*(G3/1440)^(1/3)</f>
        <v>39.105575873375798</v>
      </c>
      <c r="H26" s="168">
        <f t="shared" si="26"/>
        <v>49.269938211127254</v>
      </c>
      <c r="I26" s="168">
        <f t="shared" si="26"/>
        <v>71.059547214070847</v>
      </c>
      <c r="J26" s="168">
        <f t="shared" si="26"/>
        <v>89.529419331006451</v>
      </c>
      <c r="K26" s="168">
        <f t="shared" si="26"/>
        <v>112.8</v>
      </c>
      <c r="N26" s="46">
        <v>2011</v>
      </c>
      <c r="O26" s="168">
        <f t="shared" si="2"/>
        <v>39.105575873375798</v>
      </c>
      <c r="P26" s="168">
        <f t="shared" si="3"/>
        <v>24.634969105563627</v>
      </c>
      <c r="Q26" s="168">
        <f t="shared" si="4"/>
        <v>11.843257869011808</v>
      </c>
      <c r="R26" s="168">
        <f t="shared" si="5"/>
        <v>7.4607849442505376</v>
      </c>
      <c r="S26" s="168">
        <f t="shared" si="6"/>
        <v>4.7</v>
      </c>
    </row>
    <row r="27" spans="2:19" x14ac:dyDescent="0.2">
      <c r="B27" s="46">
        <v>2012</v>
      </c>
      <c r="C27" s="46">
        <v>66</v>
      </c>
      <c r="D27" s="165"/>
      <c r="E27" s="179"/>
      <c r="F27" s="46">
        <v>2012</v>
      </c>
      <c r="G27" s="168">
        <f t="shared" ref="G27:K27" si="27">$C$27*(G3/1440)^(1/3)</f>
        <v>22.880922053570949</v>
      </c>
      <c r="H27" s="168">
        <f t="shared" si="27"/>
        <v>28.828155336297861</v>
      </c>
      <c r="I27" s="168">
        <f t="shared" si="27"/>
        <v>41.577394646530813</v>
      </c>
      <c r="J27" s="168">
        <f t="shared" si="27"/>
        <v>52.384234714950587</v>
      </c>
      <c r="K27" s="168">
        <f t="shared" si="27"/>
        <v>66</v>
      </c>
      <c r="N27" s="46">
        <v>2012</v>
      </c>
      <c r="O27" s="168">
        <f t="shared" si="2"/>
        <v>22.880922053570949</v>
      </c>
      <c r="P27" s="168">
        <f t="shared" si="3"/>
        <v>14.414077668148931</v>
      </c>
      <c r="Q27" s="168">
        <f t="shared" si="4"/>
        <v>6.9295657744218024</v>
      </c>
      <c r="R27" s="168">
        <f t="shared" si="5"/>
        <v>4.3653528929125489</v>
      </c>
      <c r="S27" s="168">
        <f t="shared" si="6"/>
        <v>2.75</v>
      </c>
    </row>
    <row r="28" spans="2:19" x14ac:dyDescent="0.2">
      <c r="B28" s="46">
        <v>2013</v>
      </c>
      <c r="C28" s="46">
        <v>154</v>
      </c>
      <c r="D28" s="165"/>
      <c r="E28" s="179"/>
      <c r="F28" s="46">
        <v>2013</v>
      </c>
      <c r="G28" s="168">
        <f t="shared" ref="G28:K28" si="28">$C$28*(G3/1440)^(1/3)</f>
        <v>53.388818124998878</v>
      </c>
      <c r="H28" s="168">
        <f t="shared" si="28"/>
        <v>67.265695784695012</v>
      </c>
      <c r="I28" s="168">
        <f t="shared" si="28"/>
        <v>97.013920841905232</v>
      </c>
      <c r="J28" s="168">
        <f t="shared" si="28"/>
        <v>122.22988100155136</v>
      </c>
      <c r="K28" s="168">
        <f t="shared" si="28"/>
        <v>154</v>
      </c>
      <c r="N28" s="46">
        <v>2013</v>
      </c>
      <c r="O28" s="168">
        <f t="shared" si="2"/>
        <v>53.388818124998878</v>
      </c>
      <c r="P28" s="168">
        <f t="shared" si="3"/>
        <v>33.632847892347506</v>
      </c>
      <c r="Q28" s="168">
        <f t="shared" si="4"/>
        <v>16.168986806984204</v>
      </c>
      <c r="R28" s="168">
        <f t="shared" si="5"/>
        <v>10.185823416795946</v>
      </c>
      <c r="S28" s="168">
        <f t="shared" si="6"/>
        <v>6.416666666666667</v>
      </c>
    </row>
    <row r="29" spans="2:19" x14ac:dyDescent="0.2">
      <c r="B29" s="46">
        <v>2014</v>
      </c>
      <c r="C29" s="46">
        <v>143</v>
      </c>
      <c r="D29" s="165"/>
      <c r="E29" s="179"/>
      <c r="F29" s="46">
        <v>2014</v>
      </c>
      <c r="G29" s="168">
        <f t="shared" ref="G29:K29" si="29">$C$29*(G3/1440)^(1/3)</f>
        <v>49.575331116070387</v>
      </c>
      <c r="H29" s="168">
        <f t="shared" si="29"/>
        <v>62.461003228645367</v>
      </c>
      <c r="I29" s="168">
        <f t="shared" si="29"/>
        <v>90.084355067483429</v>
      </c>
      <c r="J29" s="168">
        <f t="shared" si="29"/>
        <v>113.49917521572627</v>
      </c>
      <c r="K29" s="168">
        <f t="shared" si="29"/>
        <v>143</v>
      </c>
      <c r="N29" s="46">
        <v>2014</v>
      </c>
      <c r="O29" s="168">
        <f t="shared" si="2"/>
        <v>49.575331116070387</v>
      </c>
      <c r="P29" s="168">
        <f t="shared" si="3"/>
        <v>31.230501614322684</v>
      </c>
      <c r="Q29" s="168">
        <f t="shared" si="4"/>
        <v>15.014059177913905</v>
      </c>
      <c r="R29" s="168">
        <f t="shared" si="5"/>
        <v>9.4582646013105229</v>
      </c>
      <c r="S29" s="168">
        <f t="shared" si="6"/>
        <v>5.958333333333333</v>
      </c>
    </row>
    <row r="30" spans="2:19" x14ac:dyDescent="0.2">
      <c r="B30" s="46">
        <v>2015</v>
      </c>
      <c r="C30" s="46">
        <v>75</v>
      </c>
      <c r="D30" s="165"/>
      <c r="E30" s="179"/>
      <c r="F30" s="46">
        <v>2015</v>
      </c>
      <c r="G30" s="168">
        <f t="shared" ref="G30:K30" si="30">$C$30*(G3/1440)^(1/3)</f>
        <v>26.001047788148803</v>
      </c>
      <c r="H30" s="168">
        <f t="shared" si="30"/>
        <v>32.759267427611206</v>
      </c>
      <c r="I30" s="168">
        <f t="shared" si="30"/>
        <v>47.247039371057745</v>
      </c>
      <c r="J30" s="168">
        <f t="shared" si="30"/>
        <v>59.527539448807481</v>
      </c>
      <c r="K30" s="168">
        <f t="shared" si="30"/>
        <v>75</v>
      </c>
      <c r="N30" s="46">
        <v>2015</v>
      </c>
      <c r="O30" s="168">
        <f t="shared" si="2"/>
        <v>26.001047788148803</v>
      </c>
      <c r="P30" s="168">
        <f t="shared" si="3"/>
        <v>16.379633713805603</v>
      </c>
      <c r="Q30" s="168">
        <f t="shared" si="4"/>
        <v>7.8745065618429573</v>
      </c>
      <c r="R30" s="168">
        <f t="shared" si="5"/>
        <v>4.9606282874006231</v>
      </c>
      <c r="S30" s="168">
        <f t="shared" si="6"/>
        <v>3.125</v>
      </c>
    </row>
    <row r="31" spans="2:19" x14ac:dyDescent="0.2">
      <c r="B31" s="46">
        <v>2016</v>
      </c>
      <c r="C31" s="46">
        <v>114</v>
      </c>
      <c r="D31" s="165"/>
      <c r="E31" s="179"/>
      <c r="F31" s="46">
        <v>2016</v>
      </c>
      <c r="G31" s="168">
        <f t="shared" ref="G31:K31" si="31">$C$31*(G3/1440)^(1/3)</f>
        <v>39.521592637986181</v>
      </c>
      <c r="H31" s="168">
        <f t="shared" si="31"/>
        <v>49.794086489969033</v>
      </c>
      <c r="I31" s="168">
        <f t="shared" si="31"/>
        <v>71.815499844007775</v>
      </c>
      <c r="J31" s="168">
        <f t="shared" si="31"/>
        <v>90.481859962187372</v>
      </c>
      <c r="K31" s="168">
        <f t="shared" si="31"/>
        <v>114</v>
      </c>
      <c r="N31" s="46">
        <v>2016</v>
      </c>
      <c r="O31" s="168">
        <f t="shared" si="2"/>
        <v>39.521592637986181</v>
      </c>
      <c r="P31" s="168">
        <f t="shared" si="3"/>
        <v>24.897043244984516</v>
      </c>
      <c r="Q31" s="168">
        <f t="shared" si="4"/>
        <v>11.969249974001295</v>
      </c>
      <c r="R31" s="168">
        <f t="shared" si="5"/>
        <v>7.5401549968489476</v>
      </c>
      <c r="S31" s="168">
        <f t="shared" si="6"/>
        <v>4.75</v>
      </c>
    </row>
    <row r="32" spans="2:19" x14ac:dyDescent="0.2">
      <c r="B32" s="46">
        <v>2017</v>
      </c>
      <c r="C32" s="46">
        <v>55</v>
      </c>
      <c r="D32" s="165"/>
      <c r="E32" s="179"/>
      <c r="F32" s="46">
        <v>2017</v>
      </c>
      <c r="G32" s="168">
        <f t="shared" ref="G32:K32" si="32">$C$32*(G3/1440)^(1/3)</f>
        <v>19.067435044642455</v>
      </c>
      <c r="H32" s="168">
        <f t="shared" si="32"/>
        <v>24.023462780248217</v>
      </c>
      <c r="I32" s="168">
        <f t="shared" si="32"/>
        <v>34.64782887210901</v>
      </c>
      <c r="J32" s="168">
        <f t="shared" si="32"/>
        <v>43.653528929125486</v>
      </c>
      <c r="K32" s="168">
        <f t="shared" si="32"/>
        <v>55</v>
      </c>
      <c r="N32" s="46">
        <v>2017</v>
      </c>
      <c r="O32" s="168">
        <f t="shared" si="2"/>
        <v>19.067435044642455</v>
      </c>
      <c r="P32" s="168">
        <f t="shared" si="3"/>
        <v>12.011731390124108</v>
      </c>
      <c r="Q32" s="168">
        <f t="shared" si="4"/>
        <v>5.7746381453515019</v>
      </c>
      <c r="R32" s="168">
        <f t="shared" si="5"/>
        <v>3.6377940774271238</v>
      </c>
      <c r="S32" s="168">
        <f t="shared" si="6"/>
        <v>2.2916666666666665</v>
      </c>
    </row>
    <row r="33" spans="2:19" x14ac:dyDescent="0.2">
      <c r="B33" s="46">
        <v>2018</v>
      </c>
      <c r="C33" s="46">
        <v>64</v>
      </c>
      <c r="D33" s="165"/>
      <c r="E33" s="179"/>
      <c r="F33" s="46">
        <v>2018</v>
      </c>
      <c r="G33" s="168">
        <f t="shared" ref="G33:K33" si="33">$C$33*(G3/1440)^(1/3)</f>
        <v>22.187560779220313</v>
      </c>
      <c r="H33" s="168">
        <f t="shared" si="33"/>
        <v>27.954574871561562</v>
      </c>
      <c r="I33" s="168">
        <f t="shared" si="33"/>
        <v>40.317473596635942</v>
      </c>
      <c r="J33" s="168">
        <f t="shared" si="33"/>
        <v>50.796833662982387</v>
      </c>
      <c r="K33" s="168">
        <f t="shared" si="33"/>
        <v>64</v>
      </c>
      <c r="N33" s="46">
        <v>2018</v>
      </c>
      <c r="O33" s="168">
        <f t="shared" si="2"/>
        <v>22.187560779220313</v>
      </c>
      <c r="P33" s="168">
        <f t="shared" si="3"/>
        <v>13.977287435780781</v>
      </c>
      <c r="Q33" s="168">
        <f t="shared" si="4"/>
        <v>6.7195789327726567</v>
      </c>
      <c r="R33" s="168">
        <f t="shared" si="5"/>
        <v>4.2330694719151989</v>
      </c>
      <c r="S33" s="168">
        <f t="shared" si="6"/>
        <v>2.6666666666666665</v>
      </c>
    </row>
    <row r="34" spans="2:19" x14ac:dyDescent="0.2">
      <c r="B34" s="46">
        <v>2019</v>
      </c>
      <c r="C34" s="46">
        <v>125</v>
      </c>
      <c r="D34" s="165"/>
      <c r="E34" s="179"/>
      <c r="F34" s="46">
        <v>2019</v>
      </c>
      <c r="G34" s="168">
        <f t="shared" ref="G34:K34" si="34">$C$34*(G3/1440)^(1/3)</f>
        <v>43.335079646914672</v>
      </c>
      <c r="H34" s="168">
        <f t="shared" si="34"/>
        <v>54.598779046018677</v>
      </c>
      <c r="I34" s="168">
        <f t="shared" si="34"/>
        <v>78.745065618429578</v>
      </c>
      <c r="J34" s="168">
        <f t="shared" si="34"/>
        <v>99.21256574801248</v>
      </c>
      <c r="K34" s="168">
        <f t="shared" si="34"/>
        <v>125</v>
      </c>
      <c r="N34" s="46">
        <v>2019</v>
      </c>
      <c r="O34" s="168">
        <f t="shared" si="2"/>
        <v>43.335079646914672</v>
      </c>
      <c r="P34" s="168">
        <f t="shared" si="3"/>
        <v>27.299389523009339</v>
      </c>
      <c r="Q34" s="168">
        <f t="shared" si="4"/>
        <v>13.124177603071596</v>
      </c>
      <c r="R34" s="168">
        <f t="shared" si="5"/>
        <v>8.2677138123343727</v>
      </c>
      <c r="S34" s="168">
        <f t="shared" si="6"/>
        <v>5.208333333333333</v>
      </c>
    </row>
    <row r="35" spans="2:19" x14ac:dyDescent="0.2">
      <c r="B35" s="46">
        <v>2020</v>
      </c>
      <c r="C35" s="46">
        <v>30</v>
      </c>
      <c r="D35" s="165"/>
      <c r="E35" s="179"/>
      <c r="F35" s="46">
        <v>2020</v>
      </c>
      <c r="G35" s="168">
        <f t="shared" ref="G35:K35" si="35">$C$35*(G3/1440)^(1/3)</f>
        <v>10.400419115259522</v>
      </c>
      <c r="H35" s="168">
        <f t="shared" si="35"/>
        <v>13.103706971044481</v>
      </c>
      <c r="I35" s="168">
        <f t="shared" si="35"/>
        <v>18.898815748423097</v>
      </c>
      <c r="J35" s="168">
        <f t="shared" si="35"/>
        <v>23.811015779522993</v>
      </c>
      <c r="K35" s="168">
        <f t="shared" si="35"/>
        <v>30</v>
      </c>
      <c r="N35" s="46">
        <v>2020</v>
      </c>
      <c r="O35" s="168">
        <f t="shared" si="2"/>
        <v>10.400419115259522</v>
      </c>
      <c r="P35" s="168">
        <f t="shared" si="3"/>
        <v>6.5518534855222406</v>
      </c>
      <c r="Q35" s="168">
        <f t="shared" si="4"/>
        <v>3.1498026247371826</v>
      </c>
      <c r="R35" s="168">
        <f t="shared" si="5"/>
        <v>1.9842513149602494</v>
      </c>
      <c r="S35" s="168">
        <f t="shared" si="6"/>
        <v>1.25</v>
      </c>
    </row>
    <row r="36" spans="2:19" x14ac:dyDescent="0.2">
      <c r="B36" s="46">
        <v>2021</v>
      </c>
      <c r="C36" s="46">
        <v>119</v>
      </c>
      <c r="D36" s="165"/>
      <c r="E36" s="179"/>
      <c r="F36" s="46">
        <v>2021</v>
      </c>
      <c r="G36" s="168">
        <f t="shared" ref="G36:K36" si="36">$C$36*(G3/1440)^(1/3)</f>
        <v>41.254995823862771</v>
      </c>
      <c r="H36" s="168">
        <f t="shared" si="36"/>
        <v>51.978037651809778</v>
      </c>
      <c r="I36" s="168">
        <f t="shared" si="36"/>
        <v>74.965302468744952</v>
      </c>
      <c r="J36" s="168">
        <f t="shared" si="36"/>
        <v>94.450362592107879</v>
      </c>
      <c r="K36" s="168">
        <f t="shared" si="36"/>
        <v>119</v>
      </c>
      <c r="N36" s="46">
        <v>2021</v>
      </c>
      <c r="O36" s="168">
        <f t="shared" si="2"/>
        <v>41.254995823862771</v>
      </c>
      <c r="P36" s="168">
        <f t="shared" si="3"/>
        <v>25.989018825904889</v>
      </c>
      <c r="Q36" s="168">
        <f t="shared" si="4"/>
        <v>12.494217078124159</v>
      </c>
      <c r="R36" s="168">
        <f t="shared" si="5"/>
        <v>7.8708635493423236</v>
      </c>
      <c r="S36" s="168">
        <f t="shared" si="6"/>
        <v>4.958333333333333</v>
      </c>
    </row>
    <row r="38" spans="2:19" ht="15" x14ac:dyDescent="0.2">
      <c r="E38" s="179"/>
      <c r="F38" s="172" t="s">
        <v>145</v>
      </c>
      <c r="G38" s="180">
        <f t="shared" ref="G38:K38" si="37">AVERAGE(G5:G36)</f>
        <v>36.150123441456216</v>
      </c>
      <c r="H38" s="180">
        <f t="shared" si="37"/>
        <v>45.546301480188774</v>
      </c>
      <c r="I38" s="180">
        <f t="shared" si="37"/>
        <v>65.689133738893943</v>
      </c>
      <c r="J38" s="180">
        <f t="shared" si="37"/>
        <v>82.763122346992006</v>
      </c>
      <c r="K38" s="180">
        <f t="shared" si="37"/>
        <v>104.27500000000001</v>
      </c>
      <c r="N38" s="172" t="s">
        <v>145</v>
      </c>
      <c r="O38" s="180">
        <f>AVERAGE(O5:O36)</f>
        <v>36.150123441456216</v>
      </c>
      <c r="P38" s="180">
        <f>AVERAGE(P5:P36)</f>
        <v>22.773150740094387</v>
      </c>
      <c r="Q38" s="180">
        <f>AVERAGE(Q5:Q36)</f>
        <v>10.948188956482324</v>
      </c>
      <c r="R38" s="180">
        <f>AVERAGE(R5:R36)</f>
        <v>6.8969268622493338</v>
      </c>
      <c r="S38" s="180">
        <f>AVERAGE(S5:S36)</f>
        <v>4.3447916666666666</v>
      </c>
    </row>
    <row r="39" spans="2:19" ht="30" x14ac:dyDescent="0.2">
      <c r="E39" s="179"/>
      <c r="F39" s="170" t="s">
        <v>146</v>
      </c>
      <c r="G39" s="180">
        <f t="shared" ref="G39:K39" si="38">STDEV(G5:G36)</f>
        <v>15.168499996249874</v>
      </c>
      <c r="H39" s="180">
        <f t="shared" si="38"/>
        <v>19.111112440605517</v>
      </c>
      <c r="I39" s="180">
        <f t="shared" si="38"/>
        <v>27.562993705559876</v>
      </c>
      <c r="J39" s="180">
        <f t="shared" si="38"/>
        <v>34.727195967754774</v>
      </c>
      <c r="K39" s="180">
        <f t="shared" si="38"/>
        <v>43.753525203598549</v>
      </c>
      <c r="N39" s="170" t="s">
        <v>146</v>
      </c>
      <c r="O39" s="180">
        <f>STDEV(O5:O36)</f>
        <v>15.168499996249874</v>
      </c>
      <c r="P39" s="180">
        <f t="shared" ref="P39:T39" si="39">STDEV(P5:P36)</f>
        <v>9.5555562203027584</v>
      </c>
      <c r="Q39" s="180">
        <f t="shared" si="39"/>
        <v>4.593832284259979</v>
      </c>
      <c r="R39" s="180">
        <f t="shared" si="39"/>
        <v>2.8939329973128958</v>
      </c>
      <c r="S39" s="180">
        <f t="shared" si="39"/>
        <v>1.8230635501499397</v>
      </c>
    </row>
    <row r="40" spans="2:19" ht="15" x14ac:dyDescent="0.2">
      <c r="F40" s="171" t="s">
        <v>147</v>
      </c>
      <c r="G40" s="171"/>
      <c r="H40" s="171"/>
      <c r="I40" s="171"/>
      <c r="J40" s="171"/>
      <c r="K40" s="171"/>
      <c r="N40" s="171" t="s">
        <v>147</v>
      </c>
      <c r="O40" s="171"/>
      <c r="P40" s="171"/>
      <c r="Q40" s="171"/>
      <c r="R40" s="171"/>
      <c r="S40" s="171"/>
    </row>
    <row r="41" spans="2:19" ht="15" x14ac:dyDescent="0.2">
      <c r="F41" s="172" t="s">
        <v>148</v>
      </c>
      <c r="G41" s="46">
        <v>2</v>
      </c>
      <c r="H41" s="46">
        <v>5</v>
      </c>
      <c r="I41" s="46">
        <v>10</v>
      </c>
      <c r="J41" s="46">
        <v>50</v>
      </c>
      <c r="K41" s="46">
        <v>100</v>
      </c>
      <c r="N41" s="172" t="s">
        <v>148</v>
      </c>
      <c r="O41" s="46">
        <v>2</v>
      </c>
      <c r="P41" s="46">
        <v>5</v>
      </c>
      <c r="Q41" s="46">
        <v>10</v>
      </c>
      <c r="R41" s="46">
        <v>50</v>
      </c>
      <c r="S41" s="46">
        <v>100</v>
      </c>
    </row>
    <row r="42" spans="2:19" ht="18" x14ac:dyDescent="0.2">
      <c r="F42" s="172" t="s">
        <v>149</v>
      </c>
      <c r="G42" s="173">
        <f>-((SQRT(6)/PI()*(0.5772+LN(LN(G41/(G41-1))))))</f>
        <v>-0.16427204188374181</v>
      </c>
      <c r="H42" s="173">
        <f t="shared" ref="H42:K42" si="40">-((SQRT(6)/PI()*(0.5772+LN(LN(H41/(H41-1))))))</f>
        <v>0.7194574160467988</v>
      </c>
      <c r="I42" s="173">
        <f t="shared" si="40"/>
        <v>1.3045632130342124</v>
      </c>
      <c r="J42" s="173">
        <f t="shared" si="40"/>
        <v>2.5922880965305142</v>
      </c>
      <c r="K42" s="173">
        <f t="shared" si="40"/>
        <v>3.1366806436431842</v>
      </c>
      <c r="N42" s="172" t="s">
        <v>149</v>
      </c>
      <c r="O42" s="173">
        <f>-((SQRT(6)/PI()*(0.5772+LN(LN(O41/(O41-1))))))</f>
        <v>-0.16427204188374181</v>
      </c>
      <c r="P42" s="173">
        <f t="shared" ref="P42:S42" si="41">-((SQRT(6)/PI()*(0.5772+LN(LN(P41/(P41-1))))))</f>
        <v>0.7194574160467988</v>
      </c>
      <c r="Q42" s="173">
        <f t="shared" si="41"/>
        <v>1.3045632130342124</v>
      </c>
      <c r="R42" s="173">
        <f t="shared" si="41"/>
        <v>2.5922880965305142</v>
      </c>
      <c r="S42" s="173">
        <f t="shared" si="41"/>
        <v>3.1366806436431842</v>
      </c>
    </row>
    <row r="45" spans="2:19" ht="15" x14ac:dyDescent="0.25">
      <c r="E45" s="42"/>
      <c r="F45" s="174" t="s">
        <v>150</v>
      </c>
      <c r="G45" s="175" t="s">
        <v>151</v>
      </c>
      <c r="H45" s="175"/>
      <c r="I45" s="175"/>
      <c r="J45" s="175"/>
      <c r="K45" s="175"/>
      <c r="N45" s="174" t="s">
        <v>150</v>
      </c>
      <c r="O45" s="175" t="s">
        <v>151</v>
      </c>
      <c r="P45" s="175"/>
      <c r="Q45" s="175"/>
      <c r="R45" s="175"/>
      <c r="S45" s="175"/>
    </row>
    <row r="46" spans="2:19" ht="15" x14ac:dyDescent="0.2">
      <c r="E46" s="42"/>
      <c r="F46" s="174"/>
      <c r="G46" s="172">
        <v>2</v>
      </c>
      <c r="H46" s="172">
        <v>5</v>
      </c>
      <c r="I46" s="172">
        <v>10</v>
      </c>
      <c r="J46" s="172">
        <v>50</v>
      </c>
      <c r="K46" s="172">
        <v>100</v>
      </c>
      <c r="N46" s="174"/>
      <c r="O46" s="172">
        <v>2</v>
      </c>
      <c r="P46" s="172">
        <v>5</v>
      </c>
      <c r="Q46" s="172">
        <v>10</v>
      </c>
      <c r="R46" s="172">
        <v>50</v>
      </c>
      <c r="S46" s="172">
        <v>100</v>
      </c>
    </row>
    <row r="47" spans="2:19" ht="15" x14ac:dyDescent="0.25">
      <c r="E47" s="42">
        <v>1</v>
      </c>
      <c r="F47" s="176" t="s">
        <v>135</v>
      </c>
      <c r="G47" s="168">
        <f>$G$38+G42*$G$39</f>
        <v>33.658362974758717</v>
      </c>
      <c r="H47" s="168">
        <f t="shared" ref="H47:K47" si="42">$G$38+H42*$G$39</f>
        <v>47.063213254064024</v>
      </c>
      <c r="I47" s="168">
        <f t="shared" si="42"/>
        <v>55.938390533473395</v>
      </c>
      <c r="J47" s="168">
        <f t="shared" si="42"/>
        <v>75.471245423957924</v>
      </c>
      <c r="K47" s="168">
        <f t="shared" si="42"/>
        <v>83.728863772794909</v>
      </c>
      <c r="M47" s="42">
        <v>1</v>
      </c>
      <c r="N47" s="176" t="s">
        <v>135</v>
      </c>
      <c r="O47" s="168">
        <f>$O$38+O42*$O$39</f>
        <v>33.658362974758717</v>
      </c>
      <c r="P47" s="168">
        <f>$O$38+P42*$O$39</f>
        <v>47.063213254064024</v>
      </c>
      <c r="Q47" s="168">
        <f>$O$38+Q42*$O$39</f>
        <v>55.938390533473395</v>
      </c>
      <c r="R47" s="168">
        <f t="shared" ref="R47:U47" si="43">$O$38+R42*$O$39</f>
        <v>75.471245423957924</v>
      </c>
      <c r="S47" s="168">
        <f t="shared" si="43"/>
        <v>83.728863772794909</v>
      </c>
    </row>
    <row r="48" spans="2:19" ht="15" x14ac:dyDescent="0.25">
      <c r="E48" s="42">
        <v>2</v>
      </c>
      <c r="F48" s="177" t="s">
        <v>136</v>
      </c>
      <c r="G48" s="168">
        <f>$H$38+G42*$H$39</f>
        <v>42.406880016900722</v>
      </c>
      <c r="H48" s="168">
        <f t="shared" ref="H48:K48" si="44">$H$38+H42*$H$39</f>
        <v>59.295933054486653</v>
      </c>
      <c r="I48" s="168">
        <f t="shared" si="44"/>
        <v>70.47795573036322</v>
      </c>
      <c r="J48" s="168">
        <f t="shared" si="44"/>
        <v>95.087810771426675</v>
      </c>
      <c r="K48" s="168">
        <f t="shared" si="44"/>
        <v>105.49175795112455</v>
      </c>
      <c r="M48" s="42">
        <v>2</v>
      </c>
      <c r="N48" s="177" t="s">
        <v>136</v>
      </c>
      <c r="O48" s="168">
        <f>$P$38+O42*$P$39</f>
        <v>21.203440008450361</v>
      </c>
      <c r="P48" s="168">
        <f t="shared" ref="P48:S48" si="45">$P$38+P42*$P$39</f>
        <v>29.647966527243327</v>
      </c>
      <c r="Q48" s="168">
        <f t="shared" si="45"/>
        <v>35.23897786518161</v>
      </c>
      <c r="R48" s="168">
        <f t="shared" si="45"/>
        <v>47.543905385713337</v>
      </c>
      <c r="S48" s="168">
        <f t="shared" si="45"/>
        <v>52.745878975562277</v>
      </c>
    </row>
    <row r="49" spans="5:19" ht="15" x14ac:dyDescent="0.25">
      <c r="E49" s="42">
        <v>6</v>
      </c>
      <c r="F49" s="177" t="s">
        <v>137</v>
      </c>
      <c r="G49" s="168">
        <f>$I$38+G42*$I$39</f>
        <v>61.161304482452898</v>
      </c>
      <c r="H49" s="168">
        <f>$I$38+H42*$I$39</f>
        <v>85.519533968810237</v>
      </c>
      <c r="I49" s="168">
        <f t="shared" ref="I49:L49" si="46">$I$38+I42*$I$39</f>
        <v>101.64680136826091</v>
      </c>
      <c r="J49" s="168">
        <f t="shared" si="46"/>
        <v>137.14035422656229</v>
      </c>
      <c r="K49" s="168">
        <f t="shared" si="46"/>
        <v>152.14544257598254</v>
      </c>
      <c r="M49" s="42">
        <v>6</v>
      </c>
      <c r="N49" s="177" t="s">
        <v>137</v>
      </c>
      <c r="O49" s="168">
        <f>$Q$38+O42*$Q$39</f>
        <v>10.193550747075484</v>
      </c>
      <c r="P49" s="168">
        <f t="shared" ref="P49:S49" si="47">$Q$38+P42*$Q$39</f>
        <v>14.253255661468373</v>
      </c>
      <c r="Q49" s="168">
        <f t="shared" si="47"/>
        <v>16.941133561376816</v>
      </c>
      <c r="R49" s="168">
        <f t="shared" si="47"/>
        <v>22.856725704427049</v>
      </c>
      <c r="S49" s="168">
        <f t="shared" si="47"/>
        <v>25.357573762663755</v>
      </c>
    </row>
    <row r="50" spans="5:19" ht="15" x14ac:dyDescent="0.25">
      <c r="E50" s="42">
        <v>12</v>
      </c>
      <c r="F50" s="177" t="s">
        <v>138</v>
      </c>
      <c r="G50" s="168">
        <f>$J$38+G42*$J$39</f>
        <v>77.058414956472078</v>
      </c>
      <c r="H50" s="168">
        <f t="shared" ref="H50:K50" si="48">$J$38+H42*$J$39</f>
        <v>107.74786102450366</v>
      </c>
      <c r="I50" s="168">
        <f t="shared" si="48"/>
        <v>128.06694469835492</v>
      </c>
      <c r="J50" s="168">
        <f t="shared" si="48"/>
        <v>172.78601908008517</v>
      </c>
      <c r="K50" s="168">
        <f t="shared" si="48"/>
        <v>191.69124574705205</v>
      </c>
      <c r="M50" s="42">
        <v>12</v>
      </c>
      <c r="N50" s="177" t="s">
        <v>138</v>
      </c>
      <c r="O50" s="168">
        <f>$R$38+O42*$R$39</f>
        <v>6.4215345797060071</v>
      </c>
      <c r="P50" s="168">
        <f t="shared" ref="P50:S50" si="49">$R$38+P42*$R$39</f>
        <v>8.9789884187086368</v>
      </c>
      <c r="Q50" s="168">
        <f t="shared" si="49"/>
        <v>10.672245391529573</v>
      </c>
      <c r="R50" s="168">
        <f t="shared" si="49"/>
        <v>14.398834923340427</v>
      </c>
      <c r="S50" s="168">
        <f t="shared" si="49"/>
        <v>15.974270478920998</v>
      </c>
    </row>
    <row r="51" spans="5:19" ht="15" x14ac:dyDescent="0.25">
      <c r="E51" s="42">
        <v>24</v>
      </c>
      <c r="F51" s="177" t="s">
        <v>139</v>
      </c>
      <c r="G51" s="168">
        <f>$K$38+G42*$K$39</f>
        <v>97.087519075193114</v>
      </c>
      <c r="H51" s="168">
        <f t="shared" ref="H51:K51" si="50">$K$38+H42*$K$39</f>
        <v>135.75379818591949</v>
      </c>
      <c r="I51" s="168">
        <f t="shared" si="50"/>
        <v>161.35423942117993</v>
      </c>
      <c r="J51" s="168">
        <f t="shared" si="50"/>
        <v>217.69674256653639</v>
      </c>
      <c r="K51" s="168">
        <f t="shared" si="50"/>
        <v>241.51583559728178</v>
      </c>
      <c r="M51" s="42">
        <v>24</v>
      </c>
      <c r="N51" s="177" t="s">
        <v>139</v>
      </c>
      <c r="O51" s="168">
        <f>$S$38+O42*$S$39</f>
        <v>4.0453132947997128</v>
      </c>
      <c r="P51" s="168">
        <f t="shared" ref="P51:S51" si="51">$S$38+P42*$S$39</f>
        <v>5.6564082577466461</v>
      </c>
      <c r="Q51" s="168">
        <f t="shared" si="51"/>
        <v>6.7230933092158303</v>
      </c>
      <c r="R51" s="168">
        <f t="shared" si="51"/>
        <v>9.0706976069390155</v>
      </c>
      <c r="S51" s="168">
        <f t="shared" si="51"/>
        <v>10.063159816553409</v>
      </c>
    </row>
  </sheetData>
  <mergeCells count="8">
    <mergeCell ref="I1:L1"/>
    <mergeCell ref="N2:S2"/>
    <mergeCell ref="F40:K40"/>
    <mergeCell ref="N40:S40"/>
    <mergeCell ref="F45:F46"/>
    <mergeCell ref="G45:K45"/>
    <mergeCell ref="N45:N46"/>
    <mergeCell ref="O45:S4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0ACE-661C-4452-8EEF-2A6C8D0762D2}">
  <dimension ref="B1:S57"/>
  <sheetViews>
    <sheetView tabSelected="1" topLeftCell="A45" workbookViewId="0">
      <selection activeCell="K42" sqref="K42"/>
    </sheetView>
  </sheetViews>
  <sheetFormatPr defaultRowHeight="12.75" x14ac:dyDescent="0.2"/>
  <cols>
    <col min="3" max="3" width="30.83203125" customWidth="1"/>
    <col min="4" max="5" width="12.33203125" customWidth="1"/>
    <col min="6" max="6" width="13.1640625" customWidth="1"/>
    <col min="14" max="14" width="11.6640625" customWidth="1"/>
  </cols>
  <sheetData>
    <row r="1" spans="2:19" s="187" customFormat="1" ht="25.5" x14ac:dyDescent="0.2">
      <c r="F1" s="188" t="s">
        <v>164</v>
      </c>
    </row>
    <row r="2" spans="2:19" ht="13.5" x14ac:dyDescent="0.2">
      <c r="C2" s="185" t="s">
        <v>154</v>
      </c>
      <c r="D2" s="186" t="s">
        <v>155</v>
      </c>
    </row>
    <row r="3" spans="2:19" ht="13.5" x14ac:dyDescent="0.2">
      <c r="C3" s="185" t="s">
        <v>156</v>
      </c>
      <c r="D3" s="186" t="s">
        <v>157</v>
      </c>
    </row>
    <row r="4" spans="2:19" ht="13.5" x14ac:dyDescent="0.2">
      <c r="C4" s="185" t="s">
        <v>158</v>
      </c>
      <c r="D4" s="186" t="s">
        <v>159</v>
      </c>
    </row>
    <row r="5" spans="2:19" ht="14.25" x14ac:dyDescent="0.2">
      <c r="C5" s="185" t="s">
        <v>160</v>
      </c>
      <c r="D5" s="186" t="s">
        <v>162</v>
      </c>
    </row>
    <row r="6" spans="2:19" ht="15" thickBot="1" x14ac:dyDescent="0.25">
      <c r="C6" s="185" t="s">
        <v>161</v>
      </c>
      <c r="D6" s="186" t="s">
        <v>163</v>
      </c>
    </row>
    <row r="7" spans="2:19" ht="18.75" customHeight="1" thickBot="1" x14ac:dyDescent="0.25">
      <c r="G7" s="189" t="s">
        <v>134</v>
      </c>
      <c r="H7" s="190"/>
      <c r="I7" s="190"/>
      <c r="J7" s="191"/>
    </row>
    <row r="8" spans="2:19" ht="18.75" customHeight="1" x14ac:dyDescent="0.2">
      <c r="B8" s="160" t="s">
        <v>132</v>
      </c>
      <c r="C8" s="159"/>
      <c r="D8" s="159"/>
      <c r="E8" s="159"/>
      <c r="F8" s="159"/>
      <c r="G8" s="183" t="s">
        <v>153</v>
      </c>
      <c r="H8" s="183"/>
      <c r="I8" s="183"/>
      <c r="J8" s="183"/>
      <c r="K8" s="183"/>
      <c r="L8" s="183"/>
      <c r="N8" s="182" t="s">
        <v>152</v>
      </c>
      <c r="O8" s="182"/>
      <c r="P8" s="182"/>
      <c r="Q8" s="182"/>
      <c r="R8" s="182"/>
      <c r="S8" s="182"/>
    </row>
    <row r="9" spans="2:19" ht="15" x14ac:dyDescent="0.2">
      <c r="D9" s="34"/>
      <c r="E9" s="164"/>
      <c r="F9" s="167" t="s">
        <v>144</v>
      </c>
      <c r="G9" s="108">
        <v>60</v>
      </c>
      <c r="H9" s="108">
        <v>120</v>
      </c>
      <c r="I9" s="108">
        <v>360</v>
      </c>
      <c r="J9" s="108">
        <v>720</v>
      </c>
      <c r="K9" s="108">
        <v>1440</v>
      </c>
      <c r="O9" s="181">
        <v>1</v>
      </c>
      <c r="P9" s="181">
        <v>2</v>
      </c>
      <c r="Q9" s="181">
        <v>6</v>
      </c>
      <c r="R9" s="181">
        <v>12</v>
      </c>
      <c r="S9" s="181">
        <v>24</v>
      </c>
    </row>
    <row r="10" spans="2:19" ht="15" x14ac:dyDescent="0.2">
      <c r="B10" s="108" t="s">
        <v>131</v>
      </c>
      <c r="C10" s="108" t="s">
        <v>133</v>
      </c>
      <c r="E10" s="178"/>
      <c r="F10" s="108" t="s">
        <v>131</v>
      </c>
      <c r="G10" s="163" t="s">
        <v>135</v>
      </c>
      <c r="H10" s="163" t="s">
        <v>136</v>
      </c>
      <c r="I10" s="163" t="s">
        <v>137</v>
      </c>
      <c r="J10" s="163" t="s">
        <v>138</v>
      </c>
      <c r="K10" s="163" t="s">
        <v>139</v>
      </c>
      <c r="N10" s="108" t="s">
        <v>131</v>
      </c>
      <c r="O10" s="163" t="s">
        <v>135</v>
      </c>
      <c r="P10" s="163" t="s">
        <v>136</v>
      </c>
      <c r="Q10" s="163" t="s">
        <v>137</v>
      </c>
      <c r="R10" s="163" t="s">
        <v>138</v>
      </c>
      <c r="S10" s="163" t="s">
        <v>139</v>
      </c>
    </row>
    <row r="11" spans="2:19" x14ac:dyDescent="0.2">
      <c r="B11" s="46">
        <v>1990</v>
      </c>
      <c r="C11" s="46">
        <v>80.400000000000006</v>
      </c>
      <c r="D11" s="165"/>
      <c r="E11" s="179"/>
      <c r="F11" s="46">
        <v>1990</v>
      </c>
      <c r="G11" s="168">
        <f t="shared" ref="G11:K11" si="0">$C$11*(G9/1440)^(1/3)</f>
        <v>27.873123228895519</v>
      </c>
      <c r="H11" s="168">
        <f t="shared" si="0"/>
        <v>35.117934682399216</v>
      </c>
      <c r="I11" s="168">
        <f t="shared" si="0"/>
        <v>50.648826205773908</v>
      </c>
      <c r="J11" s="168">
        <f t="shared" si="0"/>
        <v>63.813522289121629</v>
      </c>
      <c r="K11" s="168">
        <f t="shared" si="0"/>
        <v>80.400000000000006</v>
      </c>
      <c r="N11" s="46">
        <v>1990</v>
      </c>
      <c r="O11" s="168">
        <f>G11/1</f>
        <v>27.873123228895519</v>
      </c>
      <c r="P11" s="168">
        <f>H11/2</f>
        <v>17.558967341199608</v>
      </c>
      <c r="Q11" s="168">
        <f>I11/6</f>
        <v>8.4414710342956507</v>
      </c>
      <c r="R11" s="168">
        <f>J11/12</f>
        <v>5.3177935240934691</v>
      </c>
      <c r="S11" s="168">
        <f>K11/24</f>
        <v>3.35</v>
      </c>
    </row>
    <row r="12" spans="2:19" x14ac:dyDescent="0.2">
      <c r="B12" s="46">
        <v>1991</v>
      </c>
      <c r="C12" s="46">
        <v>192</v>
      </c>
      <c r="D12" s="165"/>
      <c r="E12" s="179"/>
      <c r="F12" s="46">
        <v>1991</v>
      </c>
      <c r="G12" s="168">
        <f t="shared" ref="G12:K12" si="1">$C$12*(G9/1440)^(1/3)</f>
        <v>66.562682337660931</v>
      </c>
      <c r="H12" s="168">
        <f t="shared" si="1"/>
        <v>83.863724614684685</v>
      </c>
      <c r="I12" s="168">
        <f t="shared" si="1"/>
        <v>120.95242078990782</v>
      </c>
      <c r="J12" s="168">
        <f t="shared" si="1"/>
        <v>152.39050098894717</v>
      </c>
      <c r="K12" s="168">
        <f t="shared" si="1"/>
        <v>192</v>
      </c>
      <c r="N12" s="46">
        <v>1991</v>
      </c>
      <c r="O12" s="168">
        <f t="shared" ref="O12:O42" si="2">G12/1</f>
        <v>66.562682337660931</v>
      </c>
      <c r="P12" s="168">
        <f t="shared" ref="P12:P42" si="3">H12/2</f>
        <v>41.931862307342342</v>
      </c>
      <c r="Q12" s="168">
        <f t="shared" ref="Q12:Q42" si="4">I12/6</f>
        <v>20.158736798317971</v>
      </c>
      <c r="R12" s="168">
        <f t="shared" ref="R12:R42" si="5">J12/12</f>
        <v>12.699208415745597</v>
      </c>
      <c r="S12" s="168">
        <f t="shared" ref="S12:S42" si="6">K12/24</f>
        <v>8</v>
      </c>
    </row>
    <row r="13" spans="2:19" x14ac:dyDescent="0.2">
      <c r="B13" s="46">
        <v>1992</v>
      </c>
      <c r="C13" s="46">
        <v>100.2</v>
      </c>
      <c r="D13" s="165"/>
      <c r="E13" s="179"/>
      <c r="F13" s="46">
        <v>1992</v>
      </c>
      <c r="G13" s="168">
        <f t="shared" ref="G13:K13" si="7">$C$13*(G9/1440)^(1/3)</f>
        <v>34.737399844966802</v>
      </c>
      <c r="H13" s="168">
        <f t="shared" si="7"/>
        <v>43.766381283288574</v>
      </c>
      <c r="I13" s="168">
        <f t="shared" si="7"/>
        <v>63.122044599733151</v>
      </c>
      <c r="J13" s="168">
        <f t="shared" si="7"/>
        <v>79.528792703606797</v>
      </c>
      <c r="K13" s="168">
        <f t="shared" si="7"/>
        <v>100.2</v>
      </c>
      <c r="N13" s="46">
        <v>1992</v>
      </c>
      <c r="O13" s="168">
        <f t="shared" si="2"/>
        <v>34.737399844966802</v>
      </c>
      <c r="P13" s="168">
        <f t="shared" si="3"/>
        <v>21.883190641644287</v>
      </c>
      <c r="Q13" s="168">
        <f t="shared" si="4"/>
        <v>10.520340766622192</v>
      </c>
      <c r="R13" s="168">
        <f t="shared" si="5"/>
        <v>6.6273993919672334</v>
      </c>
      <c r="S13" s="168">
        <f t="shared" si="6"/>
        <v>4.1749999999999998</v>
      </c>
    </row>
    <row r="14" spans="2:19" x14ac:dyDescent="0.2">
      <c r="B14" s="46">
        <v>1993</v>
      </c>
      <c r="C14" s="46">
        <v>114</v>
      </c>
      <c r="D14" s="165"/>
      <c r="E14" s="179"/>
      <c r="F14" s="46">
        <v>1993</v>
      </c>
      <c r="G14" s="168">
        <f t="shared" ref="G14:K14" si="8">$C$14*(G9/1440)^(1/3)</f>
        <v>39.521592637986181</v>
      </c>
      <c r="H14" s="168">
        <f t="shared" si="8"/>
        <v>49.794086489969033</v>
      </c>
      <c r="I14" s="168">
        <f t="shared" si="8"/>
        <v>71.815499844007775</v>
      </c>
      <c r="J14" s="168">
        <f t="shared" si="8"/>
        <v>90.481859962187372</v>
      </c>
      <c r="K14" s="168">
        <f t="shared" si="8"/>
        <v>114</v>
      </c>
      <c r="N14" s="46">
        <v>1993</v>
      </c>
      <c r="O14" s="168">
        <f t="shared" si="2"/>
        <v>39.521592637986181</v>
      </c>
      <c r="P14" s="168">
        <f t="shared" si="3"/>
        <v>24.897043244984516</v>
      </c>
      <c r="Q14" s="168">
        <f t="shared" si="4"/>
        <v>11.969249974001295</v>
      </c>
      <c r="R14" s="168">
        <f t="shared" si="5"/>
        <v>7.5401549968489476</v>
      </c>
      <c r="S14" s="168">
        <f t="shared" si="6"/>
        <v>4.75</v>
      </c>
    </row>
    <row r="15" spans="2:19" x14ac:dyDescent="0.2">
      <c r="B15" s="46">
        <v>1994</v>
      </c>
      <c r="C15" s="46">
        <v>124.4</v>
      </c>
      <c r="D15" s="165"/>
      <c r="E15" s="179"/>
      <c r="F15" s="46">
        <v>1994</v>
      </c>
      <c r="G15" s="168">
        <f t="shared" ref="G15:K15" si="9">$C$15*(G9/1440)^(1/3)</f>
        <v>43.127071264609484</v>
      </c>
      <c r="H15" s="168">
        <f t="shared" si="9"/>
        <v>54.336704906597788</v>
      </c>
      <c r="I15" s="168">
        <f t="shared" si="9"/>
        <v>78.367089303461114</v>
      </c>
      <c r="J15" s="168">
        <f t="shared" si="9"/>
        <v>98.736345432422013</v>
      </c>
      <c r="K15" s="168">
        <f t="shared" si="9"/>
        <v>124.4</v>
      </c>
      <c r="N15" s="46">
        <v>1994</v>
      </c>
      <c r="O15" s="168">
        <f t="shared" si="2"/>
        <v>43.127071264609484</v>
      </c>
      <c r="P15" s="168">
        <f t="shared" si="3"/>
        <v>27.168352453298894</v>
      </c>
      <c r="Q15" s="168">
        <f t="shared" si="4"/>
        <v>13.061181550576853</v>
      </c>
      <c r="R15" s="168">
        <f t="shared" si="5"/>
        <v>8.2280287860351677</v>
      </c>
      <c r="S15" s="168">
        <f t="shared" si="6"/>
        <v>5.1833333333333336</v>
      </c>
    </row>
    <row r="16" spans="2:19" x14ac:dyDescent="0.2">
      <c r="B16" s="46">
        <v>1995</v>
      </c>
      <c r="C16" s="46">
        <v>123</v>
      </c>
      <c r="D16" s="165"/>
      <c r="E16" s="179"/>
      <c r="F16" s="46">
        <v>1995</v>
      </c>
      <c r="G16" s="168">
        <f t="shared" ref="G16:K16" si="10">$C$16*(G9/1440)^(1/3)</f>
        <v>42.641718372564036</v>
      </c>
      <c r="H16" s="168">
        <f t="shared" si="10"/>
        <v>53.725198581282378</v>
      </c>
      <c r="I16" s="168">
        <f t="shared" si="10"/>
        <v>77.485144568534707</v>
      </c>
      <c r="J16" s="168">
        <f t="shared" si="10"/>
        <v>97.62516469604428</v>
      </c>
      <c r="K16" s="168">
        <f t="shared" si="10"/>
        <v>123</v>
      </c>
      <c r="N16" s="46">
        <v>1995</v>
      </c>
      <c r="O16" s="168">
        <f t="shared" si="2"/>
        <v>42.641718372564036</v>
      </c>
      <c r="P16" s="168">
        <f t="shared" si="3"/>
        <v>26.862599290641189</v>
      </c>
      <c r="Q16" s="168">
        <f t="shared" si="4"/>
        <v>12.914190761422452</v>
      </c>
      <c r="R16" s="168">
        <f t="shared" si="5"/>
        <v>8.1354303913370227</v>
      </c>
      <c r="S16" s="168">
        <f t="shared" si="6"/>
        <v>5.125</v>
      </c>
    </row>
    <row r="17" spans="2:19" x14ac:dyDescent="0.2">
      <c r="B17" s="46">
        <v>1996</v>
      </c>
      <c r="C17" s="46">
        <v>89</v>
      </c>
      <c r="D17" s="165"/>
      <c r="E17" s="179"/>
      <c r="F17" s="46">
        <v>1996</v>
      </c>
      <c r="G17" s="168">
        <f t="shared" ref="G17:K17" si="11">$C$17*(G9/1440)^(1/3)</f>
        <v>30.854576708603247</v>
      </c>
      <c r="H17" s="168">
        <f t="shared" si="11"/>
        <v>38.874330680765297</v>
      </c>
      <c r="I17" s="168">
        <f t="shared" si="11"/>
        <v>56.066486720321855</v>
      </c>
      <c r="J17" s="168">
        <f t="shared" si="11"/>
        <v>70.639346812584876</v>
      </c>
      <c r="K17" s="168">
        <f t="shared" si="11"/>
        <v>89</v>
      </c>
      <c r="N17" s="46">
        <v>1996</v>
      </c>
      <c r="O17" s="168">
        <f t="shared" si="2"/>
        <v>30.854576708603247</v>
      </c>
      <c r="P17" s="168">
        <f t="shared" si="3"/>
        <v>19.437165340382649</v>
      </c>
      <c r="Q17" s="168">
        <f t="shared" si="4"/>
        <v>9.3444144533869764</v>
      </c>
      <c r="R17" s="168">
        <f t="shared" si="5"/>
        <v>5.8866122343820733</v>
      </c>
      <c r="S17" s="168">
        <f t="shared" si="6"/>
        <v>3.7083333333333335</v>
      </c>
    </row>
    <row r="18" spans="2:19" x14ac:dyDescent="0.2">
      <c r="B18" s="46">
        <v>1997</v>
      </c>
      <c r="C18" s="46">
        <v>175</v>
      </c>
      <c r="D18" s="165"/>
      <c r="E18" s="179"/>
      <c r="F18" s="46">
        <v>1997</v>
      </c>
      <c r="G18" s="168">
        <f t="shared" ref="G18:K18" si="12">$C$18*(G9/1440)^(1/3)</f>
        <v>60.66911150568054</v>
      </c>
      <c r="H18" s="168">
        <f t="shared" si="12"/>
        <v>76.438290664426148</v>
      </c>
      <c r="I18" s="168">
        <f t="shared" si="12"/>
        <v>110.2430918658014</v>
      </c>
      <c r="J18" s="168">
        <f t="shared" si="12"/>
        <v>138.89759204721747</v>
      </c>
      <c r="K18" s="168">
        <f t="shared" si="12"/>
        <v>175</v>
      </c>
      <c r="N18" s="46">
        <v>1997</v>
      </c>
      <c r="O18" s="168">
        <f t="shared" si="2"/>
        <v>60.66911150568054</v>
      </c>
      <c r="P18" s="168">
        <f t="shared" si="3"/>
        <v>38.219145332213074</v>
      </c>
      <c r="Q18" s="168">
        <f t="shared" si="4"/>
        <v>18.373848644300235</v>
      </c>
      <c r="R18" s="168">
        <f t="shared" si="5"/>
        <v>11.574799337268123</v>
      </c>
      <c r="S18" s="168">
        <f t="shared" si="6"/>
        <v>7.291666666666667</v>
      </c>
    </row>
    <row r="19" spans="2:19" x14ac:dyDescent="0.2">
      <c r="B19" s="46">
        <v>1998</v>
      </c>
      <c r="C19" s="46">
        <v>91</v>
      </c>
      <c r="D19" s="165"/>
      <c r="E19" s="179"/>
      <c r="F19" s="46">
        <v>1998</v>
      </c>
      <c r="G19" s="168">
        <f t="shared" ref="G19:K19" si="13">$C$19*(G9/1440)^(1/3)</f>
        <v>31.547937982953883</v>
      </c>
      <c r="H19" s="168">
        <f t="shared" si="13"/>
        <v>39.747911145501597</v>
      </c>
      <c r="I19" s="168">
        <f t="shared" si="13"/>
        <v>57.326407770216733</v>
      </c>
      <c r="J19" s="168">
        <f t="shared" si="13"/>
        <v>72.226747864553076</v>
      </c>
      <c r="K19" s="168">
        <f t="shared" si="13"/>
        <v>91</v>
      </c>
      <c r="N19" s="46">
        <v>1998</v>
      </c>
      <c r="O19" s="168">
        <f t="shared" si="2"/>
        <v>31.547937982953883</v>
      </c>
      <c r="P19" s="168">
        <f t="shared" si="3"/>
        <v>19.873955572750798</v>
      </c>
      <c r="Q19" s="168">
        <f t="shared" si="4"/>
        <v>9.5544012950361221</v>
      </c>
      <c r="R19" s="168">
        <f t="shared" si="5"/>
        <v>6.0188956553794233</v>
      </c>
      <c r="S19" s="168">
        <f t="shared" si="6"/>
        <v>3.7916666666666665</v>
      </c>
    </row>
    <row r="20" spans="2:19" x14ac:dyDescent="0.2">
      <c r="B20" s="46">
        <v>1999</v>
      </c>
      <c r="C20" s="46">
        <v>82</v>
      </c>
      <c r="D20" s="165"/>
      <c r="E20" s="179"/>
      <c r="F20" s="46">
        <v>1999</v>
      </c>
      <c r="G20" s="168">
        <f t="shared" ref="G20:K20" si="14">$C$20*(G9/1440)^(1/3)</f>
        <v>28.427812248376025</v>
      </c>
      <c r="H20" s="168">
        <f t="shared" si="14"/>
        <v>35.816799054188252</v>
      </c>
      <c r="I20" s="168">
        <f t="shared" si="14"/>
        <v>51.6567630456898</v>
      </c>
      <c r="J20" s="168">
        <f t="shared" si="14"/>
        <v>65.083443130696182</v>
      </c>
      <c r="K20" s="168">
        <f t="shared" si="14"/>
        <v>82</v>
      </c>
      <c r="N20" s="46">
        <v>1999</v>
      </c>
      <c r="O20" s="168">
        <f t="shared" si="2"/>
        <v>28.427812248376025</v>
      </c>
      <c r="P20" s="168">
        <f t="shared" si="3"/>
        <v>17.908399527094126</v>
      </c>
      <c r="Q20" s="168">
        <f t="shared" si="4"/>
        <v>8.6094605076149673</v>
      </c>
      <c r="R20" s="168">
        <f t="shared" si="5"/>
        <v>5.4236202608913482</v>
      </c>
      <c r="S20" s="168">
        <f t="shared" si="6"/>
        <v>3.4166666666666665</v>
      </c>
    </row>
    <row r="21" spans="2:19" x14ac:dyDescent="0.2">
      <c r="B21" s="46">
        <v>2000</v>
      </c>
      <c r="C21" s="46">
        <v>79</v>
      </c>
      <c r="D21" s="165"/>
      <c r="E21" s="179"/>
      <c r="F21" s="46">
        <v>2000</v>
      </c>
      <c r="G21" s="168">
        <f t="shared" ref="G21:K21" si="15">$C$21*(G9/1440)^(1/3)</f>
        <v>27.387770336850075</v>
      </c>
      <c r="H21" s="168">
        <f t="shared" si="15"/>
        <v>34.506428357083806</v>
      </c>
      <c r="I21" s="168">
        <f t="shared" si="15"/>
        <v>49.766881470847494</v>
      </c>
      <c r="J21" s="168">
        <f t="shared" si="15"/>
        <v>62.702341552743881</v>
      </c>
      <c r="K21" s="168">
        <f t="shared" si="15"/>
        <v>79</v>
      </c>
      <c r="N21" s="46">
        <v>2000</v>
      </c>
      <c r="O21" s="168">
        <f t="shared" si="2"/>
        <v>27.387770336850075</v>
      </c>
      <c r="P21" s="168">
        <f t="shared" si="3"/>
        <v>17.253214178541903</v>
      </c>
      <c r="Q21" s="168">
        <f t="shared" si="4"/>
        <v>8.2944802451412496</v>
      </c>
      <c r="R21" s="168">
        <f t="shared" si="5"/>
        <v>5.2251951293953232</v>
      </c>
      <c r="S21" s="168">
        <f t="shared" si="6"/>
        <v>3.2916666666666665</v>
      </c>
    </row>
    <row r="22" spans="2:19" x14ac:dyDescent="0.2">
      <c r="B22" s="46">
        <v>2001</v>
      </c>
      <c r="C22" s="46">
        <v>225</v>
      </c>
      <c r="D22" s="165"/>
      <c r="E22" s="179"/>
      <c r="F22" s="46">
        <v>2001</v>
      </c>
      <c r="G22" s="168">
        <f t="shared" ref="G22:K22" si="16">$C$22*(G9/1440)^(1/3)</f>
        <v>78.003143364446416</v>
      </c>
      <c r="H22" s="168">
        <f t="shared" si="16"/>
        <v>98.277802282833619</v>
      </c>
      <c r="I22" s="168">
        <f t="shared" si="16"/>
        <v>141.74111811317323</v>
      </c>
      <c r="J22" s="168">
        <f t="shared" si="16"/>
        <v>178.58261834642246</v>
      </c>
      <c r="K22" s="168">
        <f t="shared" si="16"/>
        <v>225</v>
      </c>
      <c r="N22" s="46">
        <v>2001</v>
      </c>
      <c r="O22" s="168">
        <f t="shared" si="2"/>
        <v>78.003143364446416</v>
      </c>
      <c r="P22" s="168">
        <f t="shared" si="3"/>
        <v>49.13890114141681</v>
      </c>
      <c r="Q22" s="168">
        <f t="shared" si="4"/>
        <v>23.623519685528873</v>
      </c>
      <c r="R22" s="168">
        <f t="shared" si="5"/>
        <v>14.881884862201872</v>
      </c>
      <c r="S22" s="168">
        <f t="shared" si="6"/>
        <v>9.375</v>
      </c>
    </row>
    <row r="23" spans="2:19" x14ac:dyDescent="0.2">
      <c r="B23" s="46">
        <v>2002</v>
      </c>
      <c r="C23" s="46">
        <v>74</v>
      </c>
      <c r="D23" s="165"/>
      <c r="E23" s="179"/>
      <c r="F23" s="46">
        <v>2002</v>
      </c>
      <c r="G23" s="168">
        <f t="shared" ref="G23:K23" si="17">$C$23*(G9/1440)^(1/3)</f>
        <v>25.654367150973485</v>
      </c>
      <c r="H23" s="168">
        <f t="shared" si="17"/>
        <v>32.322477195243053</v>
      </c>
      <c r="I23" s="168">
        <f t="shared" si="17"/>
        <v>46.61707884611031</v>
      </c>
      <c r="J23" s="168">
        <f t="shared" si="17"/>
        <v>58.733838922823388</v>
      </c>
      <c r="K23" s="168">
        <f t="shared" si="17"/>
        <v>74</v>
      </c>
      <c r="N23" s="46">
        <v>2002</v>
      </c>
      <c r="O23" s="168">
        <f t="shared" si="2"/>
        <v>25.654367150973485</v>
      </c>
      <c r="P23" s="168">
        <f t="shared" si="3"/>
        <v>16.161238597621526</v>
      </c>
      <c r="Q23" s="168">
        <f t="shared" si="4"/>
        <v>7.7695131410183853</v>
      </c>
      <c r="R23" s="168">
        <f t="shared" si="5"/>
        <v>4.894486576901949</v>
      </c>
      <c r="S23" s="168">
        <f t="shared" si="6"/>
        <v>3.0833333333333335</v>
      </c>
    </row>
    <row r="24" spans="2:19" x14ac:dyDescent="0.2">
      <c r="B24" s="46">
        <v>2003</v>
      </c>
      <c r="C24" s="46">
        <v>150</v>
      </c>
      <c r="D24" s="165"/>
      <c r="E24" s="179"/>
      <c r="F24" s="46">
        <v>2003</v>
      </c>
      <c r="G24" s="168">
        <f t="shared" ref="G24:K24" si="18">$C$24*(G9/1440)^(1/3)</f>
        <v>52.002095576297606</v>
      </c>
      <c r="H24" s="168">
        <f t="shared" si="18"/>
        <v>65.518534855222413</v>
      </c>
      <c r="I24" s="168">
        <f t="shared" si="18"/>
        <v>94.494078742115491</v>
      </c>
      <c r="J24" s="168">
        <f t="shared" si="18"/>
        <v>119.05507889761496</v>
      </c>
      <c r="K24" s="168">
        <f t="shared" si="18"/>
        <v>150</v>
      </c>
      <c r="N24" s="46">
        <v>2003</v>
      </c>
      <c r="O24" s="168">
        <f t="shared" si="2"/>
        <v>52.002095576297606</v>
      </c>
      <c r="P24" s="168">
        <f t="shared" si="3"/>
        <v>32.759267427611206</v>
      </c>
      <c r="Q24" s="168">
        <f t="shared" si="4"/>
        <v>15.749013123685915</v>
      </c>
      <c r="R24" s="168">
        <f t="shared" si="5"/>
        <v>9.9212565748012462</v>
      </c>
      <c r="S24" s="168">
        <f t="shared" si="6"/>
        <v>6.25</v>
      </c>
    </row>
    <row r="25" spans="2:19" x14ac:dyDescent="0.2">
      <c r="B25" s="46">
        <v>2004</v>
      </c>
      <c r="C25" s="46">
        <v>137</v>
      </c>
      <c r="D25" s="165"/>
      <c r="E25" s="179"/>
      <c r="F25" s="46">
        <v>2004</v>
      </c>
      <c r="G25" s="168">
        <f t="shared" ref="G25:K25" si="19">$C$25*(G9/1440)^(1/3)</f>
        <v>47.49524729301848</v>
      </c>
      <c r="H25" s="168">
        <f t="shared" si="19"/>
        <v>59.840261834436468</v>
      </c>
      <c r="I25" s="168">
        <f t="shared" si="19"/>
        <v>86.304591917798817</v>
      </c>
      <c r="J25" s="168">
        <f t="shared" si="19"/>
        <v>108.73697205982167</v>
      </c>
      <c r="K25" s="168">
        <f t="shared" si="19"/>
        <v>137</v>
      </c>
      <c r="N25" s="46">
        <v>2004</v>
      </c>
      <c r="O25" s="168">
        <f t="shared" si="2"/>
        <v>47.49524729301848</v>
      </c>
      <c r="P25" s="168">
        <f t="shared" si="3"/>
        <v>29.920130917218234</v>
      </c>
      <c r="Q25" s="168">
        <f t="shared" si="4"/>
        <v>14.38409865296647</v>
      </c>
      <c r="R25" s="168">
        <f t="shared" si="5"/>
        <v>9.0614143383184729</v>
      </c>
      <c r="S25" s="168">
        <f t="shared" si="6"/>
        <v>5.708333333333333</v>
      </c>
    </row>
    <row r="26" spans="2:19" x14ac:dyDescent="0.2">
      <c r="B26" s="46">
        <v>2005</v>
      </c>
      <c r="C26" s="46">
        <v>60</v>
      </c>
      <c r="D26" s="165"/>
      <c r="E26" s="179"/>
      <c r="F26" s="46">
        <v>2005</v>
      </c>
      <c r="G26" s="168">
        <f t="shared" ref="G26:K26" si="20">$C$26*(G9/1440)^(1/3)</f>
        <v>20.800838230519044</v>
      </c>
      <c r="H26" s="168">
        <f t="shared" si="20"/>
        <v>26.207413942088962</v>
      </c>
      <c r="I26" s="168">
        <f t="shared" si="20"/>
        <v>37.797631496846193</v>
      </c>
      <c r="J26" s="168">
        <f t="shared" si="20"/>
        <v>47.622031559045986</v>
      </c>
      <c r="K26" s="168">
        <f t="shared" si="20"/>
        <v>60</v>
      </c>
      <c r="N26" s="46">
        <v>2005</v>
      </c>
      <c r="O26" s="168">
        <f t="shared" si="2"/>
        <v>20.800838230519044</v>
      </c>
      <c r="P26" s="168">
        <f t="shared" si="3"/>
        <v>13.103706971044481</v>
      </c>
      <c r="Q26" s="168">
        <f t="shared" si="4"/>
        <v>6.2996052494743653</v>
      </c>
      <c r="R26" s="168">
        <f t="shared" si="5"/>
        <v>3.9685026299204988</v>
      </c>
      <c r="S26" s="168">
        <f t="shared" si="6"/>
        <v>2.5</v>
      </c>
    </row>
    <row r="27" spans="2:19" x14ac:dyDescent="0.2">
      <c r="B27" s="46">
        <v>2006</v>
      </c>
      <c r="C27" s="46">
        <v>81.599999999999994</v>
      </c>
      <c r="D27" s="165"/>
      <c r="E27" s="179"/>
      <c r="F27" s="46">
        <v>2006</v>
      </c>
      <c r="G27" s="168">
        <f t="shared" ref="G27:K27" si="21">$C$27*(G9/1440)^(1/3)</f>
        <v>28.289139993505895</v>
      </c>
      <c r="H27" s="168">
        <f t="shared" si="21"/>
        <v>35.642082961240988</v>
      </c>
      <c r="I27" s="168">
        <f t="shared" si="21"/>
        <v>51.404778835710822</v>
      </c>
      <c r="J27" s="168">
        <f t="shared" si="21"/>
        <v>64.765962920302542</v>
      </c>
      <c r="K27" s="168">
        <f t="shared" si="21"/>
        <v>81.599999999999994</v>
      </c>
      <c r="N27" s="46">
        <v>2006</v>
      </c>
      <c r="O27" s="168">
        <f t="shared" si="2"/>
        <v>28.289139993505895</v>
      </c>
      <c r="P27" s="168">
        <f t="shared" si="3"/>
        <v>17.821041480620494</v>
      </c>
      <c r="Q27" s="168">
        <f t="shared" si="4"/>
        <v>8.5674631392851364</v>
      </c>
      <c r="R27" s="168">
        <f t="shared" si="5"/>
        <v>5.3971635766918782</v>
      </c>
      <c r="S27" s="168">
        <f t="shared" si="6"/>
        <v>3.4</v>
      </c>
    </row>
    <row r="28" spans="2:19" x14ac:dyDescent="0.2">
      <c r="B28" s="46">
        <v>2007</v>
      </c>
      <c r="C28" s="46">
        <v>96</v>
      </c>
      <c r="D28" s="165"/>
      <c r="E28" s="179"/>
      <c r="F28" s="46">
        <v>2007</v>
      </c>
      <c r="G28" s="168">
        <f t="shared" ref="G28:K28" si="22">$C$28*(G9/1440)^(1/3)</f>
        <v>33.281341168830465</v>
      </c>
      <c r="H28" s="168">
        <f t="shared" si="22"/>
        <v>41.931862307342342</v>
      </c>
      <c r="I28" s="168">
        <f t="shared" si="22"/>
        <v>60.47621039495391</v>
      </c>
      <c r="J28" s="168">
        <f t="shared" si="22"/>
        <v>76.195250494473584</v>
      </c>
      <c r="K28" s="168">
        <f t="shared" si="22"/>
        <v>96</v>
      </c>
      <c r="N28" s="46">
        <v>2007</v>
      </c>
      <c r="O28" s="168">
        <f t="shared" si="2"/>
        <v>33.281341168830465</v>
      </c>
      <c r="P28" s="168">
        <f t="shared" si="3"/>
        <v>20.965931153671171</v>
      </c>
      <c r="Q28" s="168">
        <f t="shared" si="4"/>
        <v>10.079368399158986</v>
      </c>
      <c r="R28" s="168">
        <f t="shared" si="5"/>
        <v>6.3496042078727983</v>
      </c>
      <c r="S28" s="168">
        <f t="shared" si="6"/>
        <v>4</v>
      </c>
    </row>
    <row r="29" spans="2:19" x14ac:dyDescent="0.2">
      <c r="B29" s="46">
        <v>2008</v>
      </c>
      <c r="C29" s="161">
        <v>104.4</v>
      </c>
      <c r="D29" s="184"/>
      <c r="E29" s="179"/>
      <c r="F29" s="46">
        <v>2008</v>
      </c>
      <c r="G29" s="168">
        <f t="shared" ref="G29:K29" si="23">$C$29*(G9/1440)^(1/3)</f>
        <v>36.193458521103139</v>
      </c>
      <c r="H29" s="168">
        <f t="shared" si="23"/>
        <v>45.600900259234798</v>
      </c>
      <c r="I29" s="168">
        <f t="shared" si="23"/>
        <v>65.767878804512378</v>
      </c>
      <c r="J29" s="168">
        <f t="shared" si="23"/>
        <v>82.862334912740025</v>
      </c>
      <c r="K29" s="168">
        <f t="shared" si="23"/>
        <v>104.4</v>
      </c>
      <c r="N29" s="46">
        <v>2008</v>
      </c>
      <c r="O29" s="168">
        <f t="shared" si="2"/>
        <v>36.193458521103139</v>
      </c>
      <c r="P29" s="168">
        <f t="shared" si="3"/>
        <v>22.800450129617399</v>
      </c>
      <c r="Q29" s="168">
        <f t="shared" si="4"/>
        <v>10.961313134085396</v>
      </c>
      <c r="R29" s="168">
        <f t="shared" si="5"/>
        <v>6.9051945760616684</v>
      </c>
      <c r="S29" s="168">
        <f t="shared" si="6"/>
        <v>4.3500000000000005</v>
      </c>
    </row>
    <row r="30" spans="2:19" x14ac:dyDescent="0.2">
      <c r="B30" s="46">
        <v>2009</v>
      </c>
      <c r="C30" s="46">
        <v>48</v>
      </c>
      <c r="D30" s="165"/>
      <c r="E30" s="179"/>
      <c r="F30" s="46">
        <v>2009</v>
      </c>
      <c r="G30" s="168">
        <f t="shared" ref="G30:K30" si="24">$C$30*(G9/1440)^(1/3)</f>
        <v>16.640670584415233</v>
      </c>
      <c r="H30" s="168">
        <f t="shared" si="24"/>
        <v>20.965931153671171</v>
      </c>
      <c r="I30" s="168">
        <f t="shared" si="24"/>
        <v>30.238105197476955</v>
      </c>
      <c r="J30" s="168">
        <f t="shared" si="24"/>
        <v>38.097625247236792</v>
      </c>
      <c r="K30" s="168">
        <f t="shared" si="24"/>
        <v>48</v>
      </c>
      <c r="N30" s="46">
        <v>2009</v>
      </c>
      <c r="O30" s="168">
        <f t="shared" si="2"/>
        <v>16.640670584415233</v>
      </c>
      <c r="P30" s="168">
        <f t="shared" si="3"/>
        <v>10.482965576835586</v>
      </c>
      <c r="Q30" s="168">
        <f t="shared" si="4"/>
        <v>5.0396841995794928</v>
      </c>
      <c r="R30" s="168">
        <f t="shared" si="5"/>
        <v>3.1748021039363992</v>
      </c>
      <c r="S30" s="168">
        <f t="shared" si="6"/>
        <v>2</v>
      </c>
    </row>
    <row r="31" spans="2:19" x14ac:dyDescent="0.2">
      <c r="B31" s="46">
        <v>2010</v>
      </c>
      <c r="C31" s="46">
        <v>53</v>
      </c>
      <c r="D31" s="165"/>
      <c r="E31" s="179"/>
      <c r="F31" s="46">
        <v>2010</v>
      </c>
      <c r="G31" s="168">
        <f t="shared" ref="G31:K31" si="25">$C$31*(G9/1440)^(1/3)</f>
        <v>18.374073770291822</v>
      </c>
      <c r="H31" s="168">
        <f t="shared" si="25"/>
        <v>23.149882315511917</v>
      </c>
      <c r="I31" s="168">
        <f t="shared" si="25"/>
        <v>33.387907822214139</v>
      </c>
      <c r="J31" s="168">
        <f t="shared" si="25"/>
        <v>42.066127877157292</v>
      </c>
      <c r="K31" s="168">
        <f t="shared" si="25"/>
        <v>53</v>
      </c>
      <c r="N31" s="46">
        <v>2010</v>
      </c>
      <c r="O31" s="168">
        <f t="shared" si="2"/>
        <v>18.374073770291822</v>
      </c>
      <c r="P31" s="168">
        <f t="shared" si="3"/>
        <v>11.574941157755958</v>
      </c>
      <c r="Q31" s="168">
        <f t="shared" si="4"/>
        <v>5.5646513037023562</v>
      </c>
      <c r="R31" s="168">
        <f t="shared" si="5"/>
        <v>3.5055106564297742</v>
      </c>
      <c r="S31" s="168">
        <f t="shared" si="6"/>
        <v>2.2083333333333335</v>
      </c>
    </row>
    <row r="32" spans="2:19" x14ac:dyDescent="0.2">
      <c r="B32" s="46">
        <v>2011</v>
      </c>
      <c r="C32" s="46">
        <v>112.8</v>
      </c>
      <c r="D32" s="165"/>
      <c r="E32" s="179"/>
      <c r="F32" s="46">
        <v>2011</v>
      </c>
      <c r="G32" s="168">
        <f t="shared" ref="G32:K32" si="26">$C$32*(G9/1440)^(1/3)</f>
        <v>39.105575873375798</v>
      </c>
      <c r="H32" s="168">
        <f t="shared" si="26"/>
        <v>49.269938211127254</v>
      </c>
      <c r="I32" s="168">
        <f t="shared" si="26"/>
        <v>71.059547214070847</v>
      </c>
      <c r="J32" s="168">
        <f t="shared" si="26"/>
        <v>89.529419331006451</v>
      </c>
      <c r="K32" s="168">
        <f t="shared" si="26"/>
        <v>112.8</v>
      </c>
      <c r="N32" s="46">
        <v>2011</v>
      </c>
      <c r="O32" s="168">
        <f t="shared" si="2"/>
        <v>39.105575873375798</v>
      </c>
      <c r="P32" s="168">
        <f t="shared" si="3"/>
        <v>24.634969105563627</v>
      </c>
      <c r="Q32" s="168">
        <f t="shared" si="4"/>
        <v>11.843257869011808</v>
      </c>
      <c r="R32" s="168">
        <f t="shared" si="5"/>
        <v>7.4607849442505376</v>
      </c>
      <c r="S32" s="168">
        <f t="shared" si="6"/>
        <v>4.7</v>
      </c>
    </row>
    <row r="33" spans="2:19" x14ac:dyDescent="0.2">
      <c r="B33" s="46">
        <v>2012</v>
      </c>
      <c r="C33" s="46">
        <v>66</v>
      </c>
      <c r="D33" s="165"/>
      <c r="E33" s="179"/>
      <c r="F33" s="46">
        <v>2012</v>
      </c>
      <c r="G33" s="168">
        <f t="shared" ref="G33:K33" si="27">$C$33*(G9/1440)^(1/3)</f>
        <v>22.880922053570949</v>
      </c>
      <c r="H33" s="168">
        <f t="shared" si="27"/>
        <v>28.828155336297861</v>
      </c>
      <c r="I33" s="168">
        <f t="shared" si="27"/>
        <v>41.577394646530813</v>
      </c>
      <c r="J33" s="168">
        <f t="shared" si="27"/>
        <v>52.384234714950587</v>
      </c>
      <c r="K33" s="168">
        <f t="shared" si="27"/>
        <v>66</v>
      </c>
      <c r="N33" s="46">
        <v>2012</v>
      </c>
      <c r="O33" s="168">
        <f t="shared" si="2"/>
        <v>22.880922053570949</v>
      </c>
      <c r="P33" s="168">
        <f t="shared" si="3"/>
        <v>14.414077668148931</v>
      </c>
      <c r="Q33" s="168">
        <f t="shared" si="4"/>
        <v>6.9295657744218024</v>
      </c>
      <c r="R33" s="168">
        <f t="shared" si="5"/>
        <v>4.3653528929125489</v>
      </c>
      <c r="S33" s="168">
        <f t="shared" si="6"/>
        <v>2.75</v>
      </c>
    </row>
    <row r="34" spans="2:19" x14ac:dyDescent="0.2">
      <c r="B34" s="46">
        <v>2013</v>
      </c>
      <c r="C34" s="46">
        <v>154</v>
      </c>
      <c r="D34" s="165"/>
      <c r="E34" s="179"/>
      <c r="F34" s="46">
        <v>2013</v>
      </c>
      <c r="G34" s="168">
        <f t="shared" ref="G34:K34" si="28">$C$34*(G9/1440)^(1/3)</f>
        <v>53.388818124998878</v>
      </c>
      <c r="H34" s="168">
        <f t="shared" si="28"/>
        <v>67.265695784695012</v>
      </c>
      <c r="I34" s="168">
        <f t="shared" si="28"/>
        <v>97.013920841905232</v>
      </c>
      <c r="J34" s="168">
        <f t="shared" si="28"/>
        <v>122.22988100155136</v>
      </c>
      <c r="K34" s="168">
        <f t="shared" si="28"/>
        <v>154</v>
      </c>
      <c r="N34" s="46">
        <v>2013</v>
      </c>
      <c r="O34" s="168">
        <f t="shared" si="2"/>
        <v>53.388818124998878</v>
      </c>
      <c r="P34" s="168">
        <f t="shared" si="3"/>
        <v>33.632847892347506</v>
      </c>
      <c r="Q34" s="168">
        <f t="shared" si="4"/>
        <v>16.168986806984204</v>
      </c>
      <c r="R34" s="168">
        <f t="shared" si="5"/>
        <v>10.185823416795946</v>
      </c>
      <c r="S34" s="168">
        <f t="shared" si="6"/>
        <v>6.416666666666667</v>
      </c>
    </row>
    <row r="35" spans="2:19" x14ac:dyDescent="0.2">
      <c r="B35" s="46">
        <v>2014</v>
      </c>
      <c r="C35" s="46">
        <v>143</v>
      </c>
      <c r="D35" s="165"/>
      <c r="E35" s="179"/>
      <c r="F35" s="46">
        <v>2014</v>
      </c>
      <c r="G35" s="168">
        <f t="shared" ref="G35:K35" si="29">$C$35*(G9/1440)^(1/3)</f>
        <v>49.575331116070387</v>
      </c>
      <c r="H35" s="168">
        <f t="shared" si="29"/>
        <v>62.461003228645367</v>
      </c>
      <c r="I35" s="168">
        <f t="shared" si="29"/>
        <v>90.084355067483429</v>
      </c>
      <c r="J35" s="168">
        <f t="shared" si="29"/>
        <v>113.49917521572627</v>
      </c>
      <c r="K35" s="168">
        <f t="shared" si="29"/>
        <v>143</v>
      </c>
      <c r="N35" s="46">
        <v>2014</v>
      </c>
      <c r="O35" s="168">
        <f t="shared" si="2"/>
        <v>49.575331116070387</v>
      </c>
      <c r="P35" s="168">
        <f t="shared" si="3"/>
        <v>31.230501614322684</v>
      </c>
      <c r="Q35" s="168">
        <f t="shared" si="4"/>
        <v>15.014059177913905</v>
      </c>
      <c r="R35" s="168">
        <f t="shared" si="5"/>
        <v>9.4582646013105229</v>
      </c>
      <c r="S35" s="168">
        <f t="shared" si="6"/>
        <v>5.958333333333333</v>
      </c>
    </row>
    <row r="36" spans="2:19" x14ac:dyDescent="0.2">
      <c r="B36" s="46">
        <v>2015</v>
      </c>
      <c r="C36" s="46">
        <v>75</v>
      </c>
      <c r="D36" s="165"/>
      <c r="E36" s="179"/>
      <c r="F36" s="46">
        <v>2015</v>
      </c>
      <c r="G36" s="168">
        <f t="shared" ref="G36:K36" si="30">$C$36*(G9/1440)^(1/3)</f>
        <v>26.001047788148803</v>
      </c>
      <c r="H36" s="168">
        <f t="shared" si="30"/>
        <v>32.759267427611206</v>
      </c>
      <c r="I36" s="168">
        <f t="shared" si="30"/>
        <v>47.247039371057745</v>
      </c>
      <c r="J36" s="168">
        <f t="shared" si="30"/>
        <v>59.527539448807481</v>
      </c>
      <c r="K36" s="168">
        <f t="shared" si="30"/>
        <v>75</v>
      </c>
      <c r="N36" s="46">
        <v>2015</v>
      </c>
      <c r="O36" s="168">
        <f t="shared" si="2"/>
        <v>26.001047788148803</v>
      </c>
      <c r="P36" s="168">
        <f t="shared" si="3"/>
        <v>16.379633713805603</v>
      </c>
      <c r="Q36" s="168">
        <f t="shared" si="4"/>
        <v>7.8745065618429573</v>
      </c>
      <c r="R36" s="168">
        <f t="shared" si="5"/>
        <v>4.9606282874006231</v>
      </c>
      <c r="S36" s="168">
        <f t="shared" si="6"/>
        <v>3.125</v>
      </c>
    </row>
    <row r="37" spans="2:19" x14ac:dyDescent="0.2">
      <c r="B37" s="46">
        <v>2016</v>
      </c>
      <c r="C37" s="46">
        <v>114</v>
      </c>
      <c r="D37" s="165"/>
      <c r="E37" s="179"/>
      <c r="F37" s="46">
        <v>2016</v>
      </c>
      <c r="G37" s="168">
        <f t="shared" ref="G37:K37" si="31">$C$37*(G9/1440)^(1/3)</f>
        <v>39.521592637986181</v>
      </c>
      <c r="H37" s="168">
        <f t="shared" si="31"/>
        <v>49.794086489969033</v>
      </c>
      <c r="I37" s="168">
        <f t="shared" si="31"/>
        <v>71.815499844007775</v>
      </c>
      <c r="J37" s="168">
        <f t="shared" si="31"/>
        <v>90.481859962187372</v>
      </c>
      <c r="K37" s="168">
        <f t="shared" si="31"/>
        <v>114</v>
      </c>
      <c r="N37" s="46">
        <v>2016</v>
      </c>
      <c r="O37" s="168">
        <f t="shared" si="2"/>
        <v>39.521592637986181</v>
      </c>
      <c r="P37" s="168">
        <f t="shared" si="3"/>
        <v>24.897043244984516</v>
      </c>
      <c r="Q37" s="168">
        <f t="shared" si="4"/>
        <v>11.969249974001295</v>
      </c>
      <c r="R37" s="168">
        <f t="shared" si="5"/>
        <v>7.5401549968489476</v>
      </c>
      <c r="S37" s="168">
        <f t="shared" si="6"/>
        <v>4.75</v>
      </c>
    </row>
    <row r="38" spans="2:19" x14ac:dyDescent="0.2">
      <c r="B38" s="46">
        <v>2017</v>
      </c>
      <c r="C38" s="46">
        <v>55</v>
      </c>
      <c r="D38" s="165"/>
      <c r="E38" s="179"/>
      <c r="F38" s="46">
        <v>2017</v>
      </c>
      <c r="G38" s="168">
        <f t="shared" ref="G38:K38" si="32">$C$38*(G9/1440)^(1/3)</f>
        <v>19.067435044642455</v>
      </c>
      <c r="H38" s="168">
        <f t="shared" si="32"/>
        <v>24.023462780248217</v>
      </c>
      <c r="I38" s="168">
        <f t="shared" si="32"/>
        <v>34.64782887210901</v>
      </c>
      <c r="J38" s="168">
        <f t="shared" si="32"/>
        <v>43.653528929125486</v>
      </c>
      <c r="K38" s="168">
        <f t="shared" si="32"/>
        <v>55</v>
      </c>
      <c r="N38" s="46">
        <v>2017</v>
      </c>
      <c r="O38" s="168">
        <f t="shared" si="2"/>
        <v>19.067435044642455</v>
      </c>
      <c r="P38" s="168">
        <f t="shared" si="3"/>
        <v>12.011731390124108</v>
      </c>
      <c r="Q38" s="168">
        <f t="shared" si="4"/>
        <v>5.7746381453515019</v>
      </c>
      <c r="R38" s="168">
        <f t="shared" si="5"/>
        <v>3.6377940774271238</v>
      </c>
      <c r="S38" s="168">
        <f t="shared" si="6"/>
        <v>2.2916666666666665</v>
      </c>
    </row>
    <row r="39" spans="2:19" x14ac:dyDescent="0.2">
      <c r="B39" s="46">
        <v>2018</v>
      </c>
      <c r="C39" s="46">
        <v>64</v>
      </c>
      <c r="D39" s="165"/>
      <c r="E39" s="179"/>
      <c r="F39" s="46">
        <v>2018</v>
      </c>
      <c r="G39" s="168">
        <f t="shared" ref="G39:K39" si="33">$C$39*(G9/1440)^(1/3)</f>
        <v>22.187560779220313</v>
      </c>
      <c r="H39" s="168">
        <f t="shared" si="33"/>
        <v>27.954574871561562</v>
      </c>
      <c r="I39" s="168">
        <f t="shared" si="33"/>
        <v>40.317473596635942</v>
      </c>
      <c r="J39" s="168">
        <f t="shared" si="33"/>
        <v>50.796833662982387</v>
      </c>
      <c r="K39" s="168">
        <f t="shared" si="33"/>
        <v>64</v>
      </c>
      <c r="N39" s="46">
        <v>2018</v>
      </c>
      <c r="O39" s="168">
        <f t="shared" si="2"/>
        <v>22.187560779220313</v>
      </c>
      <c r="P39" s="168">
        <f t="shared" si="3"/>
        <v>13.977287435780781</v>
      </c>
      <c r="Q39" s="168">
        <f t="shared" si="4"/>
        <v>6.7195789327726567</v>
      </c>
      <c r="R39" s="168">
        <f t="shared" si="5"/>
        <v>4.2330694719151989</v>
      </c>
      <c r="S39" s="168">
        <f t="shared" si="6"/>
        <v>2.6666666666666665</v>
      </c>
    </row>
    <row r="40" spans="2:19" x14ac:dyDescent="0.2">
      <c r="B40" s="46">
        <v>2019</v>
      </c>
      <c r="C40" s="46">
        <v>125</v>
      </c>
      <c r="D40" s="165"/>
      <c r="E40" s="179"/>
      <c r="F40" s="46">
        <v>2019</v>
      </c>
      <c r="G40" s="168">
        <f t="shared" ref="G40:K40" si="34">$C$40*(G9/1440)^(1/3)</f>
        <v>43.335079646914672</v>
      </c>
      <c r="H40" s="168">
        <f t="shared" si="34"/>
        <v>54.598779046018677</v>
      </c>
      <c r="I40" s="168">
        <f t="shared" si="34"/>
        <v>78.745065618429578</v>
      </c>
      <c r="J40" s="168">
        <f t="shared" si="34"/>
        <v>99.21256574801248</v>
      </c>
      <c r="K40" s="168">
        <f t="shared" si="34"/>
        <v>125</v>
      </c>
      <c r="N40" s="46">
        <v>2019</v>
      </c>
      <c r="O40" s="168">
        <f t="shared" si="2"/>
        <v>43.335079646914672</v>
      </c>
      <c r="P40" s="168">
        <f t="shared" si="3"/>
        <v>27.299389523009339</v>
      </c>
      <c r="Q40" s="168">
        <f t="shared" si="4"/>
        <v>13.124177603071596</v>
      </c>
      <c r="R40" s="168">
        <f t="shared" si="5"/>
        <v>8.2677138123343727</v>
      </c>
      <c r="S40" s="168">
        <f t="shared" si="6"/>
        <v>5.208333333333333</v>
      </c>
    </row>
    <row r="41" spans="2:19" x14ac:dyDescent="0.2">
      <c r="B41" s="46">
        <v>2020</v>
      </c>
      <c r="C41" s="46">
        <v>30</v>
      </c>
      <c r="D41" s="165"/>
      <c r="E41" s="179"/>
      <c r="F41" s="46">
        <v>2020</v>
      </c>
      <c r="G41" s="168">
        <f t="shared" ref="G41:K41" si="35">$C$41*(G9/1440)^(1/3)</f>
        <v>10.400419115259522</v>
      </c>
      <c r="H41" s="168">
        <f t="shared" si="35"/>
        <v>13.103706971044481</v>
      </c>
      <c r="I41" s="168">
        <f t="shared" si="35"/>
        <v>18.898815748423097</v>
      </c>
      <c r="J41" s="168">
        <f t="shared" si="35"/>
        <v>23.811015779522993</v>
      </c>
      <c r="K41" s="168">
        <f t="shared" si="35"/>
        <v>30</v>
      </c>
      <c r="N41" s="46">
        <v>2020</v>
      </c>
      <c r="O41" s="168">
        <f t="shared" si="2"/>
        <v>10.400419115259522</v>
      </c>
      <c r="P41" s="168">
        <f t="shared" si="3"/>
        <v>6.5518534855222406</v>
      </c>
      <c r="Q41" s="168">
        <f t="shared" si="4"/>
        <v>3.1498026247371826</v>
      </c>
      <c r="R41" s="168">
        <f t="shared" si="5"/>
        <v>1.9842513149602494</v>
      </c>
      <c r="S41" s="168">
        <f t="shared" si="6"/>
        <v>1.25</v>
      </c>
    </row>
    <row r="42" spans="2:19" x14ac:dyDescent="0.2">
      <c r="B42" s="46">
        <v>2021</v>
      </c>
      <c r="C42" s="46">
        <v>119</v>
      </c>
      <c r="D42" s="165"/>
      <c r="E42" s="179"/>
      <c r="F42" s="46">
        <v>2021</v>
      </c>
      <c r="G42" s="168">
        <f t="shared" ref="G42:K42" si="36">$C$42*(G9/1440)^(1/3)</f>
        <v>41.254995823862771</v>
      </c>
      <c r="H42" s="168">
        <f t="shared" si="36"/>
        <v>51.978037651809778</v>
      </c>
      <c r="I42" s="168">
        <f t="shared" si="36"/>
        <v>74.965302468744952</v>
      </c>
      <c r="J42" s="168">
        <f t="shared" si="36"/>
        <v>94.450362592107879</v>
      </c>
      <c r="K42" s="168">
        <f t="shared" si="36"/>
        <v>119</v>
      </c>
      <c r="N42" s="46">
        <v>2021</v>
      </c>
      <c r="O42" s="168">
        <f t="shared" si="2"/>
        <v>41.254995823862771</v>
      </c>
      <c r="P42" s="168">
        <f t="shared" si="3"/>
        <v>25.989018825904889</v>
      </c>
      <c r="Q42" s="168">
        <f t="shared" si="4"/>
        <v>12.494217078124159</v>
      </c>
      <c r="R42" s="168">
        <f t="shared" si="5"/>
        <v>7.8708635493423236</v>
      </c>
      <c r="S42" s="168">
        <f t="shared" si="6"/>
        <v>4.958333333333333</v>
      </c>
    </row>
    <row r="44" spans="2:19" ht="15" x14ac:dyDescent="0.2">
      <c r="E44" s="179"/>
      <c r="N44" s="172" t="s">
        <v>145</v>
      </c>
      <c r="O44" s="180">
        <f>AVERAGE(O11:O42)</f>
        <v>36.150123441456216</v>
      </c>
      <c r="P44" s="180">
        <f>AVERAGE(P11:P42)</f>
        <v>22.773150740094387</v>
      </c>
      <c r="Q44" s="180">
        <f>AVERAGE(Q11:Q42)</f>
        <v>10.948188956482324</v>
      </c>
      <c r="R44" s="180">
        <f>AVERAGE(R11:R42)</f>
        <v>6.8969268622493338</v>
      </c>
      <c r="S44" s="180">
        <f>AVERAGE(S11:S42)</f>
        <v>4.3447916666666666</v>
      </c>
    </row>
    <row r="45" spans="2:19" ht="30" x14ac:dyDescent="0.2">
      <c r="E45" s="179"/>
      <c r="N45" s="170" t="s">
        <v>146</v>
      </c>
      <c r="O45" s="180">
        <f>STDEV(O11:O42)</f>
        <v>15.168499996249874</v>
      </c>
      <c r="P45" s="180">
        <f t="shared" ref="P45:S45" si="37">STDEV(P11:P42)</f>
        <v>9.5555562203027584</v>
      </c>
      <c r="Q45" s="180">
        <f t="shared" si="37"/>
        <v>4.593832284259979</v>
      </c>
      <c r="R45" s="180">
        <f t="shared" si="37"/>
        <v>2.8939329973128958</v>
      </c>
      <c r="S45" s="180">
        <f t="shared" si="37"/>
        <v>1.8230635501499397</v>
      </c>
    </row>
    <row r="46" spans="2:19" ht="15" x14ac:dyDescent="0.2">
      <c r="N46" s="171" t="s">
        <v>147</v>
      </c>
      <c r="O46" s="171"/>
      <c r="P46" s="171"/>
      <c r="Q46" s="171"/>
      <c r="R46" s="171"/>
      <c r="S46" s="171"/>
    </row>
    <row r="47" spans="2:19" ht="15" x14ac:dyDescent="0.2">
      <c r="N47" s="172" t="s">
        <v>148</v>
      </c>
      <c r="O47" s="46">
        <v>2</v>
      </c>
      <c r="P47" s="46">
        <v>5</v>
      </c>
      <c r="Q47" s="46">
        <v>10</v>
      </c>
      <c r="R47" s="46">
        <v>50</v>
      </c>
      <c r="S47" s="46">
        <v>100</v>
      </c>
    </row>
    <row r="48" spans="2:19" ht="18" x14ac:dyDescent="0.2">
      <c r="N48" s="172" t="s">
        <v>149</v>
      </c>
      <c r="O48" s="173">
        <f>-((SQRT(6)/PI()*(0.5772+LN(LN(O47/(O47-1))))))</f>
        <v>-0.16427204188374181</v>
      </c>
      <c r="P48" s="173">
        <f t="shared" ref="P48:S48" si="38">-((SQRT(6)/PI()*(0.5772+LN(LN(P47/(P47-1))))))</f>
        <v>0.7194574160467988</v>
      </c>
      <c r="Q48" s="173">
        <f t="shared" si="38"/>
        <v>1.3045632130342124</v>
      </c>
      <c r="R48" s="173">
        <f t="shared" si="38"/>
        <v>2.5922880965305142</v>
      </c>
      <c r="S48" s="173">
        <f t="shared" si="38"/>
        <v>3.1366806436431842</v>
      </c>
    </row>
    <row r="51" spans="5:19" ht="15" x14ac:dyDescent="0.25">
      <c r="E51" s="42"/>
      <c r="N51" s="174" t="s">
        <v>150</v>
      </c>
      <c r="O51" s="175" t="s">
        <v>151</v>
      </c>
      <c r="P51" s="175"/>
      <c r="Q51" s="175"/>
      <c r="R51" s="175"/>
      <c r="S51" s="175"/>
    </row>
    <row r="52" spans="5:19" ht="15" x14ac:dyDescent="0.2">
      <c r="E52" s="42"/>
      <c r="N52" s="174"/>
      <c r="O52" s="172">
        <v>2</v>
      </c>
      <c r="P52" s="172">
        <v>5</v>
      </c>
      <c r="Q52" s="172">
        <v>10</v>
      </c>
      <c r="R52" s="172">
        <v>50</v>
      </c>
      <c r="S52" s="172">
        <v>100</v>
      </c>
    </row>
    <row r="53" spans="5:19" ht="15" x14ac:dyDescent="0.25">
      <c r="E53" s="42"/>
      <c r="M53" s="42">
        <v>1</v>
      </c>
      <c r="N53" s="176" t="s">
        <v>135</v>
      </c>
      <c r="O53" s="168">
        <f>$O$44+O48*$O$45</f>
        <v>33.658362974758717</v>
      </c>
      <c r="P53" s="168">
        <f>$O$44+P48*$O$45</f>
        <v>47.063213254064024</v>
      </c>
      <c r="Q53" s="168">
        <f>$O$44+Q48*$O$45</f>
        <v>55.938390533473395</v>
      </c>
      <c r="R53" s="168">
        <f>$O$44+R48*$O$45</f>
        <v>75.471245423957924</v>
      </c>
      <c r="S53" s="168">
        <f>$O$44+S48*$O$45</f>
        <v>83.728863772794909</v>
      </c>
    </row>
    <row r="54" spans="5:19" ht="15" x14ac:dyDescent="0.25">
      <c r="E54" s="42"/>
      <c r="M54" s="42">
        <v>2</v>
      </c>
      <c r="N54" s="177" t="s">
        <v>136</v>
      </c>
      <c r="O54" s="168">
        <f>$P$44+O48*$P$45</f>
        <v>21.203440008450361</v>
      </c>
      <c r="P54" s="168">
        <f t="shared" ref="P54:S54" si="39">$P$44+P48*$P$45</f>
        <v>29.647966527243327</v>
      </c>
      <c r="Q54" s="168">
        <f t="shared" si="39"/>
        <v>35.23897786518161</v>
      </c>
      <c r="R54" s="168">
        <f t="shared" si="39"/>
        <v>47.543905385713337</v>
      </c>
      <c r="S54" s="168">
        <f t="shared" si="39"/>
        <v>52.745878975562277</v>
      </c>
    </row>
    <row r="55" spans="5:19" ht="15" x14ac:dyDescent="0.25">
      <c r="E55" s="42"/>
      <c r="M55" s="42">
        <v>6</v>
      </c>
      <c r="N55" s="177" t="s">
        <v>137</v>
      </c>
      <c r="O55" s="168">
        <f>$Q$44+O48*$Q$45</f>
        <v>10.193550747075484</v>
      </c>
      <c r="P55" s="168">
        <f t="shared" ref="P55:S55" si="40">$Q$44+P48*$Q$45</f>
        <v>14.253255661468373</v>
      </c>
      <c r="Q55" s="168">
        <f t="shared" si="40"/>
        <v>16.941133561376816</v>
      </c>
      <c r="R55" s="168">
        <f t="shared" si="40"/>
        <v>22.856725704427049</v>
      </c>
      <c r="S55" s="168">
        <f t="shared" si="40"/>
        <v>25.357573762663755</v>
      </c>
    </row>
    <row r="56" spans="5:19" ht="15" x14ac:dyDescent="0.25">
      <c r="E56" s="42"/>
      <c r="M56" s="42">
        <v>12</v>
      </c>
      <c r="N56" s="177" t="s">
        <v>138</v>
      </c>
      <c r="O56" s="168">
        <f>$R$44+O48*$R$45</f>
        <v>6.4215345797060071</v>
      </c>
      <c r="P56" s="168">
        <f t="shared" ref="P56:S56" si="41">$R$44+P48*$R$45</f>
        <v>8.9789884187086368</v>
      </c>
      <c r="Q56" s="168">
        <f t="shared" si="41"/>
        <v>10.672245391529573</v>
      </c>
      <c r="R56" s="168">
        <f t="shared" si="41"/>
        <v>14.398834923340427</v>
      </c>
      <c r="S56" s="168">
        <f t="shared" si="41"/>
        <v>15.974270478920998</v>
      </c>
    </row>
    <row r="57" spans="5:19" ht="15" x14ac:dyDescent="0.25">
      <c r="E57" s="42"/>
      <c r="M57" s="42">
        <v>24</v>
      </c>
      <c r="N57" s="177" t="s">
        <v>139</v>
      </c>
      <c r="O57" s="168">
        <f>$S$44+O48*$S$45</f>
        <v>4.0453132947997128</v>
      </c>
      <c r="P57" s="168">
        <f t="shared" ref="P57:S57" si="42">$S$44+P48*$S$45</f>
        <v>5.6564082577466461</v>
      </c>
      <c r="Q57" s="168">
        <f t="shared" si="42"/>
        <v>6.7230933092158303</v>
      </c>
      <c r="R57" s="168">
        <f t="shared" si="42"/>
        <v>9.0706976069390155</v>
      </c>
      <c r="S57" s="168">
        <f t="shared" si="42"/>
        <v>10.063159816553409</v>
      </c>
    </row>
  </sheetData>
  <mergeCells count="5">
    <mergeCell ref="N8:S8"/>
    <mergeCell ref="N46:S46"/>
    <mergeCell ref="N51:N52"/>
    <mergeCell ref="O51:S51"/>
    <mergeCell ref="G7:J7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487E-C10F-4239-BBF9-8F1B1BD8EDF3}">
  <dimension ref="A1:M35"/>
  <sheetViews>
    <sheetView workbookViewId="0">
      <selection sqref="A1:M1"/>
    </sheetView>
  </sheetViews>
  <sheetFormatPr defaultRowHeight="12.75" x14ac:dyDescent="0.2"/>
  <cols>
    <col min="1" max="1" width="28.5" customWidth="1"/>
  </cols>
  <sheetData>
    <row r="1" spans="1:13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</row>
    <row r="2" spans="1:13" ht="14.25" x14ac:dyDescent="0.2">
      <c r="A2" s="141">
        <v>1</v>
      </c>
      <c r="B2" s="142">
        <v>0</v>
      </c>
      <c r="C2" s="142">
        <v>0</v>
      </c>
      <c r="D2" s="142">
        <v>0</v>
      </c>
      <c r="E2" s="142">
        <v>0</v>
      </c>
      <c r="F2" s="142">
        <v>0</v>
      </c>
      <c r="G2" s="142">
        <v>0</v>
      </c>
      <c r="H2" s="142">
        <v>0</v>
      </c>
      <c r="I2" s="142">
        <v>71</v>
      </c>
      <c r="J2" s="142">
        <v>13</v>
      </c>
      <c r="K2" s="142">
        <v>1</v>
      </c>
      <c r="L2" s="142">
        <v>0</v>
      </c>
      <c r="M2" s="142">
        <v>0</v>
      </c>
    </row>
    <row r="3" spans="1:13" ht="14.25" x14ac:dyDescent="0.2">
      <c r="A3" s="141">
        <v>2</v>
      </c>
      <c r="B3" s="142">
        <v>0</v>
      </c>
      <c r="C3" s="142">
        <v>0</v>
      </c>
      <c r="D3" s="142">
        <v>0</v>
      </c>
      <c r="E3" s="142">
        <v>0</v>
      </c>
      <c r="F3" s="142">
        <v>0</v>
      </c>
      <c r="G3" s="142">
        <v>0</v>
      </c>
      <c r="H3" s="142">
        <v>0</v>
      </c>
      <c r="I3" s="142">
        <v>45</v>
      </c>
      <c r="J3" s="142">
        <v>16</v>
      </c>
      <c r="K3" s="142">
        <v>0</v>
      </c>
      <c r="L3" s="142">
        <v>0</v>
      </c>
      <c r="M3" s="142">
        <v>0</v>
      </c>
    </row>
    <row r="4" spans="1:13" ht="14.25" x14ac:dyDescent="0.2">
      <c r="A4" s="141">
        <v>3</v>
      </c>
      <c r="B4" s="142">
        <v>8</v>
      </c>
      <c r="C4" s="142">
        <v>0</v>
      </c>
      <c r="D4" s="142">
        <v>0</v>
      </c>
      <c r="E4" s="142">
        <v>0</v>
      </c>
      <c r="F4" s="142">
        <v>0</v>
      </c>
      <c r="G4" s="142">
        <v>0</v>
      </c>
      <c r="H4" s="142">
        <v>0</v>
      </c>
      <c r="I4" s="143">
        <v>119</v>
      </c>
      <c r="J4" s="142">
        <v>13</v>
      </c>
      <c r="K4" s="142">
        <v>13</v>
      </c>
      <c r="L4" s="142">
        <v>0</v>
      </c>
      <c r="M4" s="142">
        <v>0</v>
      </c>
    </row>
    <row r="5" spans="1:13" ht="14.25" x14ac:dyDescent="0.2">
      <c r="A5" s="141">
        <v>4</v>
      </c>
      <c r="B5" s="142">
        <v>35</v>
      </c>
      <c r="C5" s="142">
        <v>0</v>
      </c>
      <c r="D5" s="142">
        <v>0</v>
      </c>
      <c r="E5" s="142">
        <v>0</v>
      </c>
      <c r="F5" s="142">
        <v>0</v>
      </c>
      <c r="G5" s="142">
        <v>0</v>
      </c>
      <c r="H5" s="142">
        <v>0</v>
      </c>
      <c r="I5" s="142">
        <v>110</v>
      </c>
      <c r="J5" s="142">
        <v>0</v>
      </c>
      <c r="K5" s="142">
        <v>0</v>
      </c>
      <c r="L5" s="142">
        <v>0</v>
      </c>
      <c r="M5" s="142">
        <v>0</v>
      </c>
    </row>
    <row r="6" spans="1:13" ht="14.25" x14ac:dyDescent="0.2">
      <c r="A6" s="141">
        <v>5</v>
      </c>
      <c r="B6" s="142">
        <v>0</v>
      </c>
      <c r="C6" s="142">
        <v>0</v>
      </c>
      <c r="D6" s="142">
        <v>0</v>
      </c>
      <c r="E6" s="142">
        <v>0</v>
      </c>
      <c r="F6" s="142">
        <v>0</v>
      </c>
      <c r="G6" s="142">
        <v>0</v>
      </c>
      <c r="H6" s="142">
        <v>0</v>
      </c>
      <c r="I6" s="142">
        <v>102</v>
      </c>
      <c r="J6" s="142">
        <v>0</v>
      </c>
      <c r="K6" s="142">
        <v>0</v>
      </c>
      <c r="L6" s="142">
        <v>0</v>
      </c>
      <c r="M6" s="142">
        <v>0</v>
      </c>
    </row>
    <row r="7" spans="1:13" ht="14.25" x14ac:dyDescent="0.2">
      <c r="A7" s="141">
        <v>6</v>
      </c>
      <c r="B7" s="142">
        <v>0</v>
      </c>
      <c r="C7" s="142">
        <v>0</v>
      </c>
      <c r="D7" s="142">
        <v>0</v>
      </c>
      <c r="E7" s="142">
        <v>0</v>
      </c>
      <c r="F7" s="142">
        <v>0</v>
      </c>
      <c r="G7" s="142">
        <v>0</v>
      </c>
      <c r="H7" s="142">
        <v>6</v>
      </c>
      <c r="I7" s="142">
        <v>15</v>
      </c>
      <c r="J7" s="142">
        <v>2</v>
      </c>
      <c r="K7" s="142">
        <v>0</v>
      </c>
      <c r="L7" s="142">
        <v>0</v>
      </c>
      <c r="M7" s="142">
        <v>0</v>
      </c>
    </row>
    <row r="8" spans="1:13" ht="14.25" x14ac:dyDescent="0.2">
      <c r="A8" s="141">
        <v>7</v>
      </c>
      <c r="B8" s="142">
        <v>0</v>
      </c>
      <c r="C8" s="142">
        <v>0</v>
      </c>
      <c r="D8" s="142">
        <v>0</v>
      </c>
      <c r="E8" s="142">
        <v>0</v>
      </c>
      <c r="F8" s="142">
        <v>0</v>
      </c>
      <c r="G8" s="142">
        <v>0</v>
      </c>
      <c r="H8" s="142">
        <v>0</v>
      </c>
      <c r="I8" s="142">
        <v>14</v>
      </c>
      <c r="J8" s="142">
        <v>0</v>
      </c>
      <c r="K8" s="142">
        <v>0</v>
      </c>
      <c r="L8" s="142">
        <v>0</v>
      </c>
      <c r="M8" s="142">
        <v>0</v>
      </c>
    </row>
    <row r="9" spans="1:13" ht="14.25" x14ac:dyDescent="0.2">
      <c r="A9" s="141">
        <v>8</v>
      </c>
      <c r="B9" s="142">
        <v>0</v>
      </c>
      <c r="C9" s="142">
        <v>0</v>
      </c>
      <c r="D9" s="142">
        <v>0</v>
      </c>
      <c r="E9" s="142">
        <v>0</v>
      </c>
      <c r="F9" s="142">
        <v>0</v>
      </c>
      <c r="G9" s="142">
        <v>0</v>
      </c>
      <c r="H9" s="142">
        <v>2</v>
      </c>
      <c r="I9" s="142">
        <v>0</v>
      </c>
      <c r="J9" s="142">
        <v>1</v>
      </c>
      <c r="K9" s="142">
        <v>0</v>
      </c>
      <c r="L9" s="142">
        <v>0</v>
      </c>
      <c r="M9" s="142">
        <v>0</v>
      </c>
    </row>
    <row r="10" spans="1:13" ht="14.25" x14ac:dyDescent="0.2">
      <c r="A10" s="141">
        <v>9</v>
      </c>
      <c r="B10" s="142">
        <v>5</v>
      </c>
      <c r="C10" s="142">
        <v>0</v>
      </c>
      <c r="D10" s="142">
        <v>0</v>
      </c>
      <c r="E10" s="142">
        <v>0</v>
      </c>
      <c r="F10" s="142">
        <v>0</v>
      </c>
      <c r="G10" s="142">
        <v>0</v>
      </c>
      <c r="H10" s="142">
        <v>1</v>
      </c>
      <c r="I10" s="142">
        <v>37</v>
      </c>
      <c r="J10" s="142">
        <v>0</v>
      </c>
      <c r="K10" s="142">
        <v>0</v>
      </c>
      <c r="L10" s="142">
        <v>0</v>
      </c>
      <c r="M10" s="142">
        <v>0</v>
      </c>
    </row>
    <row r="11" spans="1:13" ht="14.25" x14ac:dyDescent="0.2">
      <c r="A11" s="141">
        <v>10</v>
      </c>
      <c r="B11" s="142">
        <v>0</v>
      </c>
      <c r="C11" s="142">
        <v>0</v>
      </c>
      <c r="D11" s="142">
        <v>0</v>
      </c>
      <c r="E11" s="142">
        <v>0</v>
      </c>
      <c r="F11" s="142">
        <v>0</v>
      </c>
      <c r="G11" s="142">
        <v>0</v>
      </c>
      <c r="H11" s="142">
        <v>0</v>
      </c>
      <c r="I11" s="142">
        <v>8</v>
      </c>
      <c r="J11" s="142">
        <v>2</v>
      </c>
      <c r="K11" s="142">
        <v>0</v>
      </c>
      <c r="L11" s="142">
        <v>0</v>
      </c>
      <c r="M11" s="142">
        <v>0</v>
      </c>
    </row>
    <row r="12" spans="1:13" ht="14.25" x14ac:dyDescent="0.2">
      <c r="A12" s="141">
        <v>11</v>
      </c>
      <c r="B12" s="142">
        <v>0</v>
      </c>
      <c r="C12" s="142">
        <v>0</v>
      </c>
      <c r="D12" s="142">
        <v>0</v>
      </c>
      <c r="E12" s="142">
        <v>0</v>
      </c>
      <c r="F12" s="142">
        <v>0</v>
      </c>
      <c r="G12" s="142">
        <v>0</v>
      </c>
      <c r="H12" s="142">
        <v>0</v>
      </c>
      <c r="I12" s="142">
        <v>0</v>
      </c>
      <c r="J12" s="142">
        <v>7</v>
      </c>
      <c r="K12" s="142">
        <v>0</v>
      </c>
      <c r="L12" s="142">
        <v>0</v>
      </c>
      <c r="M12" s="142">
        <v>0</v>
      </c>
    </row>
    <row r="13" spans="1:13" ht="14.25" x14ac:dyDescent="0.2">
      <c r="A13" s="141">
        <v>12</v>
      </c>
      <c r="B13" s="142">
        <v>0</v>
      </c>
      <c r="C13" s="142">
        <v>0</v>
      </c>
      <c r="D13" s="142">
        <v>0</v>
      </c>
      <c r="E13" s="142">
        <v>0</v>
      </c>
      <c r="F13" s="142">
        <v>0</v>
      </c>
      <c r="G13" s="142">
        <v>0</v>
      </c>
      <c r="H13" s="142">
        <v>0</v>
      </c>
      <c r="I13" s="142">
        <v>0</v>
      </c>
      <c r="J13" s="142">
        <v>9</v>
      </c>
      <c r="K13" s="142">
        <v>0</v>
      </c>
      <c r="L13" s="142">
        <v>0</v>
      </c>
      <c r="M13" s="142">
        <v>0</v>
      </c>
    </row>
    <row r="14" spans="1:13" ht="14.25" x14ac:dyDescent="0.2">
      <c r="A14" s="141">
        <v>13</v>
      </c>
      <c r="B14" s="142">
        <v>0</v>
      </c>
      <c r="C14" s="142">
        <v>0</v>
      </c>
      <c r="D14" s="142">
        <v>0</v>
      </c>
      <c r="E14" s="142">
        <v>0</v>
      </c>
      <c r="F14" s="142">
        <v>0</v>
      </c>
      <c r="G14" s="142">
        <v>0</v>
      </c>
      <c r="H14" s="142">
        <v>0</v>
      </c>
      <c r="I14" s="142">
        <v>0</v>
      </c>
      <c r="J14" s="142">
        <v>0</v>
      </c>
      <c r="K14" s="142">
        <v>0</v>
      </c>
      <c r="L14" s="142">
        <v>0</v>
      </c>
      <c r="M14" s="142">
        <v>0</v>
      </c>
    </row>
    <row r="15" spans="1:13" ht="14.25" x14ac:dyDescent="0.2">
      <c r="A15" s="141">
        <v>14</v>
      </c>
      <c r="B15" s="142">
        <v>0</v>
      </c>
      <c r="C15" s="142">
        <v>0</v>
      </c>
      <c r="D15" s="142">
        <v>0</v>
      </c>
      <c r="E15" s="142">
        <v>0</v>
      </c>
      <c r="F15" s="142">
        <v>0</v>
      </c>
      <c r="G15" s="142">
        <v>0</v>
      </c>
      <c r="H15" s="142">
        <v>0</v>
      </c>
      <c r="I15" s="142">
        <v>0</v>
      </c>
      <c r="J15" s="142">
        <v>17</v>
      </c>
      <c r="K15" s="142">
        <v>0</v>
      </c>
      <c r="L15" s="142">
        <v>0</v>
      </c>
      <c r="M15" s="142">
        <v>0</v>
      </c>
    </row>
    <row r="16" spans="1:13" ht="14.25" x14ac:dyDescent="0.2">
      <c r="A16" s="141">
        <v>15</v>
      </c>
      <c r="B16" s="142">
        <v>0</v>
      </c>
      <c r="C16" s="142">
        <v>0</v>
      </c>
      <c r="D16" s="142">
        <v>0</v>
      </c>
      <c r="E16" s="142">
        <v>0</v>
      </c>
      <c r="F16" s="142">
        <v>0</v>
      </c>
      <c r="G16" s="142">
        <v>0</v>
      </c>
      <c r="H16" s="142">
        <v>8</v>
      </c>
      <c r="I16" s="142">
        <v>0</v>
      </c>
      <c r="J16" s="142">
        <v>0</v>
      </c>
      <c r="K16" s="142">
        <v>0</v>
      </c>
      <c r="L16" s="142">
        <v>0</v>
      </c>
      <c r="M16" s="142">
        <v>0</v>
      </c>
    </row>
    <row r="17" spans="1:13" ht="14.25" x14ac:dyDescent="0.2">
      <c r="A17" s="141">
        <v>16</v>
      </c>
      <c r="B17" s="142">
        <v>0</v>
      </c>
      <c r="C17" s="142">
        <v>0</v>
      </c>
      <c r="D17" s="142">
        <v>0</v>
      </c>
      <c r="E17" s="142">
        <v>0</v>
      </c>
      <c r="F17" s="142">
        <v>0</v>
      </c>
      <c r="G17" s="142">
        <v>0</v>
      </c>
      <c r="H17" s="142">
        <v>0</v>
      </c>
      <c r="I17" s="142">
        <v>0</v>
      </c>
      <c r="J17" s="142">
        <v>3</v>
      </c>
      <c r="K17" s="142">
        <v>0</v>
      </c>
      <c r="L17" s="142">
        <v>0</v>
      </c>
      <c r="M17" s="142">
        <v>0</v>
      </c>
    </row>
    <row r="18" spans="1:13" ht="14.25" x14ac:dyDescent="0.2">
      <c r="A18" s="141">
        <v>17</v>
      </c>
      <c r="B18" s="142">
        <v>0</v>
      </c>
      <c r="C18" s="142">
        <v>0</v>
      </c>
      <c r="D18" s="142">
        <v>0</v>
      </c>
      <c r="E18" s="142">
        <v>0</v>
      </c>
      <c r="F18" s="142">
        <v>0</v>
      </c>
      <c r="G18" s="142">
        <v>1</v>
      </c>
      <c r="H18" s="142">
        <v>0</v>
      </c>
      <c r="I18" s="142">
        <v>0</v>
      </c>
      <c r="J18" s="142">
        <v>0</v>
      </c>
      <c r="K18" s="142">
        <v>0</v>
      </c>
      <c r="L18" s="142">
        <v>0</v>
      </c>
      <c r="M18" s="142">
        <v>0</v>
      </c>
    </row>
    <row r="19" spans="1:13" ht="14.25" x14ac:dyDescent="0.2">
      <c r="A19" s="141">
        <v>18</v>
      </c>
      <c r="B19" s="142">
        <v>0</v>
      </c>
      <c r="C19" s="142">
        <v>0</v>
      </c>
      <c r="D19" s="142">
        <v>0</v>
      </c>
      <c r="E19" s="142">
        <v>0</v>
      </c>
      <c r="F19" s="142">
        <v>10</v>
      </c>
      <c r="G19" s="142">
        <v>0</v>
      </c>
      <c r="H19" s="142">
        <v>20</v>
      </c>
      <c r="I19" s="142">
        <v>0</v>
      </c>
      <c r="J19" s="142">
        <v>5</v>
      </c>
      <c r="K19" s="142">
        <v>11</v>
      </c>
      <c r="L19" s="142">
        <v>0</v>
      </c>
      <c r="M19" s="142">
        <v>0</v>
      </c>
    </row>
    <row r="20" spans="1:13" ht="14.25" x14ac:dyDescent="0.2">
      <c r="A20" s="141">
        <v>19</v>
      </c>
      <c r="B20" s="142">
        <v>0</v>
      </c>
      <c r="C20" s="142">
        <v>0</v>
      </c>
      <c r="D20" s="142">
        <v>0</v>
      </c>
      <c r="E20" s="142">
        <v>0</v>
      </c>
      <c r="F20" s="142">
        <v>5</v>
      </c>
      <c r="G20" s="142">
        <v>0</v>
      </c>
      <c r="H20" s="142">
        <v>17</v>
      </c>
      <c r="I20" s="142">
        <v>0</v>
      </c>
      <c r="J20" s="142">
        <v>3</v>
      </c>
      <c r="K20" s="142">
        <v>0</v>
      </c>
      <c r="L20" s="142">
        <v>5</v>
      </c>
      <c r="M20" s="142">
        <v>0</v>
      </c>
    </row>
    <row r="21" spans="1:13" ht="14.25" x14ac:dyDescent="0.2">
      <c r="A21" s="141">
        <v>20</v>
      </c>
      <c r="B21" s="142">
        <v>0</v>
      </c>
      <c r="C21" s="142">
        <v>0</v>
      </c>
      <c r="D21" s="142">
        <v>0</v>
      </c>
      <c r="E21" s="142">
        <v>0</v>
      </c>
      <c r="F21" s="142">
        <v>0</v>
      </c>
      <c r="G21" s="142">
        <v>5</v>
      </c>
      <c r="H21" s="142">
        <v>0</v>
      </c>
      <c r="I21" s="142">
        <v>1</v>
      </c>
      <c r="J21" s="142">
        <v>15</v>
      </c>
      <c r="K21" s="142">
        <v>0</v>
      </c>
      <c r="L21" s="142">
        <v>2</v>
      </c>
      <c r="M21" s="142">
        <v>0</v>
      </c>
    </row>
    <row r="22" spans="1:13" ht="14.25" x14ac:dyDescent="0.2">
      <c r="A22" s="141">
        <v>21</v>
      </c>
      <c r="B22" s="142">
        <v>0</v>
      </c>
      <c r="C22" s="142">
        <v>0</v>
      </c>
      <c r="D22" s="142">
        <v>0</v>
      </c>
      <c r="E22" s="142">
        <v>0</v>
      </c>
      <c r="F22" s="142">
        <v>0</v>
      </c>
      <c r="G22" s="142">
        <v>0</v>
      </c>
      <c r="H22" s="142">
        <v>0</v>
      </c>
      <c r="I22" s="142">
        <v>0</v>
      </c>
      <c r="J22" s="142">
        <v>30</v>
      </c>
      <c r="K22" s="142">
        <v>0</v>
      </c>
      <c r="L22" s="142">
        <v>2</v>
      </c>
      <c r="M22" s="142">
        <v>0</v>
      </c>
    </row>
    <row r="23" spans="1:13" ht="14.25" x14ac:dyDescent="0.2">
      <c r="A23" s="141">
        <v>22</v>
      </c>
      <c r="B23" s="142">
        <v>0</v>
      </c>
      <c r="C23" s="142">
        <v>0</v>
      </c>
      <c r="D23" s="142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42">
        <v>0</v>
      </c>
      <c r="K23" s="142">
        <v>0</v>
      </c>
      <c r="L23" s="142">
        <v>0</v>
      </c>
      <c r="M23" s="142">
        <v>0</v>
      </c>
    </row>
    <row r="24" spans="1:13" ht="14.25" x14ac:dyDescent="0.2">
      <c r="A24" s="141">
        <v>23</v>
      </c>
      <c r="B24" s="142">
        <v>0</v>
      </c>
      <c r="C24" s="142">
        <v>0</v>
      </c>
      <c r="D24" s="142">
        <v>0</v>
      </c>
      <c r="E24" s="142">
        <v>0</v>
      </c>
      <c r="F24" s="142">
        <v>0</v>
      </c>
      <c r="G24" s="142">
        <v>0</v>
      </c>
      <c r="H24" s="142">
        <v>0</v>
      </c>
      <c r="I24" s="142">
        <v>1</v>
      </c>
      <c r="J24" s="142">
        <v>0</v>
      </c>
      <c r="K24" s="142">
        <v>0</v>
      </c>
      <c r="L24" s="142">
        <v>0</v>
      </c>
      <c r="M24" s="142">
        <v>0</v>
      </c>
    </row>
    <row r="25" spans="1:13" ht="14.25" x14ac:dyDescent="0.2">
      <c r="A25" s="141">
        <v>24</v>
      </c>
      <c r="B25" s="142">
        <v>0</v>
      </c>
      <c r="C25" s="142">
        <v>0</v>
      </c>
      <c r="D25" s="142">
        <v>0</v>
      </c>
      <c r="E25" s="142">
        <v>0</v>
      </c>
      <c r="F25" s="142">
        <v>0</v>
      </c>
      <c r="G25" s="142">
        <v>0</v>
      </c>
      <c r="H25" s="142">
        <v>26</v>
      </c>
      <c r="I25" s="142">
        <v>0</v>
      </c>
      <c r="J25" s="142">
        <v>1</v>
      </c>
      <c r="K25" s="142">
        <v>0</v>
      </c>
      <c r="L25" s="142">
        <v>0</v>
      </c>
      <c r="M25" s="142">
        <v>0</v>
      </c>
    </row>
    <row r="26" spans="1:13" ht="14.25" x14ac:dyDescent="0.2">
      <c r="A26" s="141">
        <v>25</v>
      </c>
      <c r="B26" s="142">
        <v>0</v>
      </c>
      <c r="C26" s="142">
        <v>0</v>
      </c>
      <c r="D26" s="142">
        <v>0</v>
      </c>
      <c r="E26" s="142">
        <v>0</v>
      </c>
      <c r="F26" s="142">
        <v>0</v>
      </c>
      <c r="G26" s="142">
        <v>18</v>
      </c>
      <c r="H26" s="142">
        <v>0</v>
      </c>
      <c r="I26" s="142">
        <v>0</v>
      </c>
      <c r="J26" s="142">
        <v>0</v>
      </c>
      <c r="K26" s="142">
        <v>0</v>
      </c>
      <c r="L26" s="142">
        <v>0</v>
      </c>
      <c r="M26" s="142">
        <v>0</v>
      </c>
    </row>
    <row r="27" spans="1:13" ht="14.25" x14ac:dyDescent="0.2">
      <c r="A27" s="141">
        <v>26</v>
      </c>
      <c r="B27" s="142">
        <v>0</v>
      </c>
      <c r="C27" s="142">
        <v>0</v>
      </c>
      <c r="D27" s="142">
        <v>0</v>
      </c>
      <c r="E27" s="142">
        <v>0</v>
      </c>
      <c r="F27" s="142">
        <v>0</v>
      </c>
      <c r="G27" s="142">
        <v>0</v>
      </c>
      <c r="H27" s="142">
        <v>0</v>
      </c>
      <c r="I27" s="142">
        <v>0</v>
      </c>
      <c r="J27" s="142">
        <v>1</v>
      </c>
      <c r="K27" s="142">
        <v>0</v>
      </c>
      <c r="L27" s="142">
        <v>0</v>
      </c>
      <c r="M27" s="142">
        <v>0</v>
      </c>
    </row>
    <row r="28" spans="1:13" ht="14.25" x14ac:dyDescent="0.2">
      <c r="A28" s="141">
        <v>27</v>
      </c>
      <c r="B28" s="142">
        <v>0</v>
      </c>
      <c r="C28" s="142">
        <v>0</v>
      </c>
      <c r="D28" s="142">
        <v>0</v>
      </c>
      <c r="E28" s="142">
        <v>0</v>
      </c>
      <c r="F28" s="142">
        <v>0</v>
      </c>
      <c r="G28" s="142">
        <v>0</v>
      </c>
      <c r="H28" s="142">
        <v>5</v>
      </c>
      <c r="I28" s="142">
        <v>0</v>
      </c>
      <c r="J28" s="142">
        <v>2</v>
      </c>
      <c r="K28" s="142">
        <v>0</v>
      </c>
      <c r="L28" s="142">
        <v>0</v>
      </c>
      <c r="M28" s="142">
        <v>0</v>
      </c>
    </row>
    <row r="29" spans="1:13" ht="14.25" x14ac:dyDescent="0.2">
      <c r="A29" s="141">
        <v>28</v>
      </c>
      <c r="B29" s="142">
        <v>0</v>
      </c>
      <c r="C29" s="142">
        <v>0</v>
      </c>
      <c r="D29" s="142">
        <v>0</v>
      </c>
      <c r="E29" s="142">
        <v>0</v>
      </c>
      <c r="F29" s="142">
        <v>0</v>
      </c>
      <c r="G29" s="142">
        <v>0</v>
      </c>
      <c r="H29" s="142">
        <v>37</v>
      </c>
      <c r="I29" s="142">
        <v>0</v>
      </c>
      <c r="J29" s="142">
        <v>0</v>
      </c>
      <c r="K29" s="142">
        <v>0</v>
      </c>
      <c r="L29" s="142">
        <v>0</v>
      </c>
      <c r="M29" s="142">
        <v>10</v>
      </c>
    </row>
    <row r="30" spans="1:13" ht="15" x14ac:dyDescent="0.25">
      <c r="A30" s="141">
        <v>29</v>
      </c>
      <c r="B30" s="142">
        <v>0</v>
      </c>
      <c r="C30" s="64"/>
      <c r="D30" s="142">
        <v>0</v>
      </c>
      <c r="E30" s="142">
        <v>0</v>
      </c>
      <c r="F30" s="142">
        <v>0</v>
      </c>
      <c r="G30" s="142">
        <v>0</v>
      </c>
      <c r="H30" s="142">
        <v>2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</row>
    <row r="31" spans="1:13" ht="15" x14ac:dyDescent="0.25">
      <c r="A31" s="141">
        <v>30</v>
      </c>
      <c r="B31" s="142">
        <v>0</v>
      </c>
      <c r="C31" s="64"/>
      <c r="D31" s="142">
        <v>0</v>
      </c>
      <c r="E31" s="142">
        <v>0</v>
      </c>
      <c r="F31" s="142">
        <v>0</v>
      </c>
      <c r="G31" s="142">
        <v>0</v>
      </c>
      <c r="H31" s="142">
        <v>4</v>
      </c>
      <c r="I31" s="142">
        <v>0</v>
      </c>
      <c r="J31" s="142">
        <v>29</v>
      </c>
      <c r="K31" s="142">
        <v>0</v>
      </c>
      <c r="L31" s="142">
        <v>0</v>
      </c>
      <c r="M31" s="142">
        <v>0</v>
      </c>
    </row>
    <row r="32" spans="1:13" ht="15" x14ac:dyDescent="0.2">
      <c r="A32" s="141">
        <v>31</v>
      </c>
      <c r="B32" s="142">
        <v>0</v>
      </c>
      <c r="C32" s="48"/>
      <c r="D32" s="142">
        <v>0</v>
      </c>
      <c r="E32" s="48"/>
      <c r="F32" s="142">
        <v>0</v>
      </c>
      <c r="G32" s="48"/>
      <c r="H32" s="142">
        <v>32</v>
      </c>
      <c r="I32" s="142">
        <v>5</v>
      </c>
      <c r="J32" s="48"/>
      <c r="K32" s="142">
        <v>0</v>
      </c>
      <c r="L32" s="48"/>
      <c r="M32" s="142">
        <v>0</v>
      </c>
    </row>
    <row r="33" spans="1:13" x14ac:dyDescent="0.2">
      <c r="A33" s="138"/>
      <c r="B33" s="137"/>
      <c r="C33" s="45"/>
      <c r="D33" s="137"/>
      <c r="E33" s="45"/>
      <c r="F33" s="137"/>
      <c r="G33" s="45"/>
      <c r="H33" s="137"/>
      <c r="I33" s="137"/>
      <c r="J33" s="45"/>
      <c r="K33" s="137"/>
      <c r="L33" s="45"/>
      <c r="M33" s="137"/>
    </row>
    <row r="34" spans="1:13" ht="12.75" customHeight="1" x14ac:dyDescent="0.2">
      <c r="A34" s="118" t="s">
        <v>78</v>
      </c>
      <c r="B34" s="144">
        <v>48</v>
      </c>
      <c r="C34" s="144">
        <v>0</v>
      </c>
      <c r="D34" s="144">
        <v>0</v>
      </c>
      <c r="E34" s="144">
        <v>0</v>
      </c>
      <c r="F34" s="144">
        <v>15</v>
      </c>
      <c r="G34" s="144">
        <v>24</v>
      </c>
      <c r="H34" s="144">
        <v>160</v>
      </c>
      <c r="I34" s="144">
        <v>528</v>
      </c>
      <c r="J34" s="144">
        <v>169</v>
      </c>
      <c r="K34" s="144">
        <v>25</v>
      </c>
      <c r="L34" s="144">
        <v>9</v>
      </c>
      <c r="M34" s="144">
        <v>10</v>
      </c>
    </row>
    <row r="35" spans="1:13" ht="12.75" customHeight="1" x14ac:dyDescent="0.2">
      <c r="A35" s="118" t="s">
        <v>128</v>
      </c>
      <c r="B35" s="145">
        <v>3</v>
      </c>
      <c r="C35" s="145">
        <v>0</v>
      </c>
      <c r="D35" s="145">
        <v>0</v>
      </c>
      <c r="E35" s="145">
        <v>0</v>
      </c>
      <c r="F35" s="145">
        <v>2</v>
      </c>
      <c r="G35" s="145">
        <v>2</v>
      </c>
      <c r="H35" s="145">
        <v>9</v>
      </c>
      <c r="I35" s="145">
        <v>10</v>
      </c>
      <c r="J35" s="145">
        <v>12</v>
      </c>
      <c r="K35" s="145">
        <v>2</v>
      </c>
      <c r="L35" s="145">
        <v>1</v>
      </c>
      <c r="M35" s="145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75DC-4843-4F90-A553-ED730ACB5FC3}">
  <dimension ref="A1:M35"/>
  <sheetViews>
    <sheetView workbookViewId="0">
      <selection sqref="A1:M1"/>
    </sheetView>
  </sheetViews>
  <sheetFormatPr defaultRowHeight="12.75" x14ac:dyDescent="0.2"/>
  <sheetData>
    <row r="1" spans="1:13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</row>
    <row r="2" spans="1:13" ht="14.25" x14ac:dyDescent="0.2">
      <c r="A2" s="147">
        <v>1</v>
      </c>
      <c r="B2" s="146">
        <v>0</v>
      </c>
      <c r="C2" s="146">
        <v>0</v>
      </c>
      <c r="D2" s="146">
        <v>0</v>
      </c>
      <c r="E2" s="146">
        <v>0</v>
      </c>
      <c r="F2" s="146">
        <v>0</v>
      </c>
      <c r="G2" s="146">
        <v>0</v>
      </c>
      <c r="H2" s="146">
        <v>0</v>
      </c>
      <c r="I2" s="146">
        <v>0</v>
      </c>
      <c r="J2" s="146">
        <v>0</v>
      </c>
      <c r="K2" s="146">
        <v>0</v>
      </c>
      <c r="L2" s="146">
        <v>0</v>
      </c>
      <c r="M2" s="146">
        <v>0</v>
      </c>
    </row>
    <row r="3" spans="1:13" ht="14.25" x14ac:dyDescent="0.2">
      <c r="A3" s="147">
        <v>2</v>
      </c>
      <c r="B3" s="146">
        <v>0</v>
      </c>
      <c r="C3" s="146">
        <v>0</v>
      </c>
      <c r="D3" s="146">
        <v>0</v>
      </c>
      <c r="E3" s="146">
        <v>0</v>
      </c>
      <c r="F3" s="146">
        <v>0</v>
      </c>
      <c r="G3" s="146">
        <v>0</v>
      </c>
      <c r="H3" s="146">
        <v>0</v>
      </c>
      <c r="I3" s="146">
        <v>0</v>
      </c>
      <c r="J3" s="146">
        <v>0</v>
      </c>
      <c r="K3" s="146">
        <v>0</v>
      </c>
      <c r="L3" s="146">
        <v>0</v>
      </c>
      <c r="M3" s="146">
        <v>0</v>
      </c>
    </row>
    <row r="4" spans="1:13" ht="14.25" x14ac:dyDescent="0.2">
      <c r="A4" s="147">
        <v>3</v>
      </c>
      <c r="B4" s="146">
        <v>0</v>
      </c>
      <c r="C4" s="146">
        <v>0</v>
      </c>
      <c r="D4" s="146">
        <v>0</v>
      </c>
      <c r="E4" s="146">
        <v>0</v>
      </c>
      <c r="F4" s="146">
        <v>0</v>
      </c>
      <c r="G4" s="146">
        <v>0</v>
      </c>
      <c r="H4" s="146">
        <v>0</v>
      </c>
      <c r="I4" s="146">
        <v>0</v>
      </c>
      <c r="J4" s="146">
        <v>2</v>
      </c>
      <c r="K4" s="146">
        <v>0</v>
      </c>
      <c r="L4" s="146">
        <v>0</v>
      </c>
      <c r="M4" s="146">
        <v>0</v>
      </c>
    </row>
    <row r="5" spans="1:13" ht="14.25" x14ac:dyDescent="0.2">
      <c r="A5" s="147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12</v>
      </c>
      <c r="J5" s="146">
        <v>1</v>
      </c>
      <c r="K5" s="146">
        <v>0</v>
      </c>
      <c r="L5" s="146">
        <v>0</v>
      </c>
      <c r="M5" s="146">
        <v>0</v>
      </c>
    </row>
    <row r="6" spans="1:13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1</v>
      </c>
      <c r="I6" s="146">
        <v>0</v>
      </c>
      <c r="J6" s="146">
        <v>0</v>
      </c>
      <c r="K6" s="146">
        <v>0</v>
      </c>
      <c r="L6" s="146">
        <v>0</v>
      </c>
      <c r="M6" s="146">
        <v>0</v>
      </c>
    </row>
    <row r="7" spans="1:13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0</v>
      </c>
      <c r="I7" s="146">
        <v>5</v>
      </c>
      <c r="J7" s="146">
        <v>0</v>
      </c>
      <c r="K7" s="146">
        <v>0</v>
      </c>
      <c r="L7" s="146">
        <v>0</v>
      </c>
      <c r="M7" s="146">
        <v>0</v>
      </c>
    </row>
    <row r="8" spans="1:13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11</v>
      </c>
      <c r="J8" s="146">
        <v>0</v>
      </c>
      <c r="K8" s="146">
        <v>0</v>
      </c>
      <c r="L8" s="146">
        <v>0</v>
      </c>
      <c r="M8" s="146">
        <v>0</v>
      </c>
    </row>
    <row r="9" spans="1:13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19</v>
      </c>
      <c r="H9" s="146">
        <v>0</v>
      </c>
      <c r="I9" s="146">
        <v>0</v>
      </c>
      <c r="J9" s="146">
        <v>7</v>
      </c>
      <c r="K9" s="146">
        <v>0</v>
      </c>
      <c r="L9" s="146">
        <v>0</v>
      </c>
      <c r="M9" s="146">
        <v>0</v>
      </c>
    </row>
    <row r="10" spans="1:13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0</v>
      </c>
      <c r="J10" s="146">
        <v>0</v>
      </c>
      <c r="K10" s="146">
        <v>0</v>
      </c>
      <c r="L10" s="146">
        <v>0</v>
      </c>
      <c r="M10" s="146">
        <v>0</v>
      </c>
    </row>
    <row r="11" spans="1:13" ht="14.25" x14ac:dyDescent="0.2">
      <c r="A11" s="147">
        <v>10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11</v>
      </c>
      <c r="I11" s="146">
        <v>0</v>
      </c>
      <c r="J11" s="146">
        <v>0</v>
      </c>
      <c r="K11" s="146">
        <v>0</v>
      </c>
      <c r="L11" s="146">
        <v>0</v>
      </c>
      <c r="M11" s="146">
        <v>0</v>
      </c>
    </row>
    <row r="12" spans="1:13" ht="14.2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6">
        <v>0</v>
      </c>
      <c r="J12" s="146">
        <v>0</v>
      </c>
      <c r="K12" s="146">
        <v>0</v>
      </c>
      <c r="L12" s="146">
        <v>0</v>
      </c>
      <c r="M12" s="146">
        <v>0</v>
      </c>
    </row>
    <row r="13" spans="1:13" ht="14.25" x14ac:dyDescent="0.2">
      <c r="A13" s="147">
        <v>12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  <c r="I13" s="146">
        <v>0</v>
      </c>
      <c r="J13" s="146">
        <v>0</v>
      </c>
      <c r="K13" s="146">
        <v>0</v>
      </c>
      <c r="L13" s="146">
        <v>0</v>
      </c>
      <c r="M13" s="146">
        <v>0</v>
      </c>
    </row>
    <row r="14" spans="1:13" ht="14.2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1</v>
      </c>
      <c r="J14" s="146">
        <v>0</v>
      </c>
      <c r="K14" s="146">
        <v>0</v>
      </c>
      <c r="L14" s="146">
        <v>0</v>
      </c>
      <c r="M14" s="146">
        <v>0</v>
      </c>
    </row>
    <row r="15" spans="1:13" ht="14.25" x14ac:dyDescent="0.2">
      <c r="A15" s="147">
        <v>14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0</v>
      </c>
      <c r="I15" s="146">
        <v>3</v>
      </c>
      <c r="J15" s="146">
        <v>0</v>
      </c>
      <c r="K15" s="146">
        <v>0</v>
      </c>
      <c r="L15" s="146">
        <v>0</v>
      </c>
      <c r="M15" s="146">
        <v>0</v>
      </c>
    </row>
    <row r="16" spans="1:13" ht="14.25" x14ac:dyDescent="0.2">
      <c r="A16" s="147">
        <v>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3</v>
      </c>
      <c r="H16" s="146">
        <v>0</v>
      </c>
      <c r="I16" s="146">
        <v>2</v>
      </c>
      <c r="J16" s="146">
        <v>0</v>
      </c>
      <c r="K16" s="146">
        <v>0</v>
      </c>
      <c r="L16" s="146">
        <v>0</v>
      </c>
      <c r="M16" s="146">
        <v>0</v>
      </c>
    </row>
    <row r="17" spans="1:13" ht="14.25" x14ac:dyDescent="0.2">
      <c r="A17" s="147">
        <v>16</v>
      </c>
      <c r="B17" s="146">
        <v>1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0</v>
      </c>
      <c r="I17" s="146">
        <v>15</v>
      </c>
      <c r="J17" s="146">
        <v>0</v>
      </c>
      <c r="K17" s="146">
        <v>0</v>
      </c>
      <c r="L17" s="146">
        <v>4</v>
      </c>
      <c r="M17" s="146">
        <v>0</v>
      </c>
    </row>
    <row r="18" spans="1:13" ht="14.25" x14ac:dyDescent="0.2">
      <c r="A18" s="147">
        <v>17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0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</row>
    <row r="19" spans="1:13" ht="14.25" x14ac:dyDescent="0.2">
      <c r="A19" s="147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7</v>
      </c>
      <c r="I19" s="146">
        <v>3</v>
      </c>
      <c r="J19" s="146">
        <v>0</v>
      </c>
      <c r="K19" s="146">
        <v>0</v>
      </c>
      <c r="L19" s="146">
        <v>0</v>
      </c>
      <c r="M19" s="146">
        <v>0</v>
      </c>
    </row>
    <row r="20" spans="1:13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5</v>
      </c>
      <c r="J20" s="146">
        <v>0</v>
      </c>
      <c r="K20" s="146">
        <v>0</v>
      </c>
      <c r="L20" s="146">
        <v>0</v>
      </c>
      <c r="M20" s="146">
        <v>0</v>
      </c>
    </row>
    <row r="21" spans="1:13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10</v>
      </c>
      <c r="H21" s="146">
        <v>6</v>
      </c>
      <c r="I21" s="146">
        <v>8</v>
      </c>
      <c r="J21" s="146">
        <v>0</v>
      </c>
      <c r="K21" s="146">
        <v>0</v>
      </c>
      <c r="L21" s="146">
        <v>0</v>
      </c>
      <c r="M21" s="146">
        <v>0</v>
      </c>
    </row>
    <row r="22" spans="1:13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4</v>
      </c>
      <c r="I22" s="146">
        <v>4</v>
      </c>
      <c r="J22" s="146">
        <v>0</v>
      </c>
      <c r="K22" s="146">
        <v>0</v>
      </c>
      <c r="L22" s="146">
        <v>0</v>
      </c>
      <c r="M22" s="146">
        <v>0</v>
      </c>
    </row>
    <row r="23" spans="1:13" ht="14.25" x14ac:dyDescent="0.2">
      <c r="A23" s="147">
        <v>22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0</v>
      </c>
      <c r="I23" s="148">
        <v>30</v>
      </c>
      <c r="J23" s="146">
        <v>0</v>
      </c>
      <c r="K23" s="146">
        <v>0</v>
      </c>
      <c r="L23" s="146">
        <v>0</v>
      </c>
      <c r="M23" s="146">
        <v>0</v>
      </c>
    </row>
    <row r="24" spans="1:13" ht="14.25" x14ac:dyDescent="0.2">
      <c r="A24" s="147">
        <v>23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3</v>
      </c>
      <c r="H24" s="146">
        <v>0</v>
      </c>
      <c r="I24" s="146">
        <v>3</v>
      </c>
      <c r="J24" s="146">
        <v>0</v>
      </c>
      <c r="K24" s="146">
        <v>0</v>
      </c>
      <c r="L24" s="146">
        <v>0</v>
      </c>
      <c r="M24" s="146">
        <v>0</v>
      </c>
    </row>
    <row r="25" spans="1:13" ht="14.25" x14ac:dyDescent="0.2">
      <c r="A25" s="147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18</v>
      </c>
      <c r="I25" s="146">
        <v>7</v>
      </c>
      <c r="J25" s="146">
        <v>0</v>
      </c>
      <c r="K25" s="146">
        <v>0</v>
      </c>
      <c r="L25" s="146">
        <v>0</v>
      </c>
      <c r="M25" s="146">
        <v>0</v>
      </c>
    </row>
    <row r="26" spans="1:13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0</v>
      </c>
      <c r="H26" s="146">
        <v>0</v>
      </c>
      <c r="I26" s="146">
        <v>0</v>
      </c>
      <c r="J26" s="146">
        <v>0</v>
      </c>
      <c r="K26" s="146">
        <v>0</v>
      </c>
      <c r="L26" s="146">
        <v>0</v>
      </c>
      <c r="M26" s="146">
        <v>0</v>
      </c>
    </row>
    <row r="27" spans="1:13" ht="14.25" x14ac:dyDescent="0.2">
      <c r="A27" s="147">
        <v>26</v>
      </c>
      <c r="B27" s="146">
        <v>0</v>
      </c>
      <c r="C27" s="146">
        <v>0</v>
      </c>
      <c r="D27" s="146">
        <v>8</v>
      </c>
      <c r="E27" s="146">
        <v>0</v>
      </c>
      <c r="F27" s="146">
        <v>0</v>
      </c>
      <c r="G27" s="146">
        <v>2</v>
      </c>
      <c r="H27" s="146">
        <v>0</v>
      </c>
      <c r="I27" s="146">
        <v>0</v>
      </c>
      <c r="J27" s="146">
        <v>0</v>
      </c>
      <c r="K27" s="146">
        <v>0</v>
      </c>
      <c r="L27" s="146">
        <v>3</v>
      </c>
      <c r="M27" s="146">
        <v>0</v>
      </c>
    </row>
    <row r="28" spans="1:13" ht="14.25" x14ac:dyDescent="0.2">
      <c r="A28" s="147">
        <v>27</v>
      </c>
      <c r="B28" s="146">
        <v>0</v>
      </c>
      <c r="C28" s="146">
        <v>0</v>
      </c>
      <c r="D28" s="146">
        <v>7</v>
      </c>
      <c r="E28" s="146">
        <v>0</v>
      </c>
      <c r="F28" s="146">
        <v>0</v>
      </c>
      <c r="G28" s="146">
        <v>0</v>
      </c>
      <c r="H28" s="146">
        <v>0</v>
      </c>
      <c r="I28" s="146">
        <v>0</v>
      </c>
      <c r="J28" s="146">
        <v>0</v>
      </c>
      <c r="K28" s="146">
        <v>0</v>
      </c>
      <c r="L28" s="146">
        <v>0</v>
      </c>
      <c r="M28" s="146">
        <v>0</v>
      </c>
    </row>
    <row r="29" spans="1:13" ht="14.25" x14ac:dyDescent="0.2">
      <c r="A29" s="147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0</v>
      </c>
      <c r="H29" s="146">
        <v>0</v>
      </c>
      <c r="I29" s="146">
        <v>0</v>
      </c>
      <c r="J29" s="146">
        <v>0</v>
      </c>
      <c r="K29" s="146">
        <v>0</v>
      </c>
      <c r="L29" s="146">
        <v>0</v>
      </c>
      <c r="M29" s="146">
        <v>0</v>
      </c>
    </row>
    <row r="30" spans="1:13" ht="14.25" x14ac:dyDescent="0.2">
      <c r="A30" s="147">
        <v>29</v>
      </c>
      <c r="B30" s="146">
        <v>0</v>
      </c>
      <c r="C30" s="146">
        <v>0</v>
      </c>
      <c r="D30" s="146">
        <v>0</v>
      </c>
      <c r="E30" s="146">
        <v>0</v>
      </c>
      <c r="F30" s="146">
        <v>0</v>
      </c>
      <c r="G30" s="146">
        <v>0</v>
      </c>
      <c r="H30" s="146">
        <v>3</v>
      </c>
      <c r="I30" s="146">
        <v>0</v>
      </c>
      <c r="J30" s="146">
        <v>0</v>
      </c>
      <c r="K30" s="146">
        <v>0</v>
      </c>
      <c r="L30" s="146">
        <v>0</v>
      </c>
      <c r="M30" s="146">
        <v>0</v>
      </c>
    </row>
    <row r="31" spans="1:13" ht="15" x14ac:dyDescent="0.2">
      <c r="A31" s="147">
        <v>30</v>
      </c>
      <c r="B31" s="146">
        <v>0</v>
      </c>
      <c r="C31" s="48"/>
      <c r="D31" s="146">
        <v>0</v>
      </c>
      <c r="E31" s="146">
        <v>0</v>
      </c>
      <c r="F31" s="146">
        <v>0</v>
      </c>
      <c r="G31" s="146">
        <v>1</v>
      </c>
      <c r="H31" s="146">
        <v>29</v>
      </c>
      <c r="I31" s="146">
        <v>18</v>
      </c>
      <c r="J31" s="146">
        <v>0</v>
      </c>
      <c r="K31" s="146">
        <v>0</v>
      </c>
      <c r="L31" s="146">
        <v>0</v>
      </c>
      <c r="M31" s="146">
        <v>0</v>
      </c>
    </row>
    <row r="32" spans="1:13" ht="15" x14ac:dyDescent="0.2">
      <c r="A32" s="147">
        <v>31</v>
      </c>
      <c r="B32" s="146">
        <v>0</v>
      </c>
      <c r="C32" s="48"/>
      <c r="D32" s="146">
        <v>0</v>
      </c>
      <c r="E32" s="48"/>
      <c r="F32" s="146">
        <v>3</v>
      </c>
      <c r="G32" s="48"/>
      <c r="H32" s="146">
        <v>0</v>
      </c>
      <c r="I32" s="146">
        <v>5</v>
      </c>
      <c r="J32" s="48"/>
      <c r="K32" s="146">
        <v>0</v>
      </c>
      <c r="L32" s="48"/>
      <c r="M32" s="146">
        <v>0</v>
      </c>
    </row>
    <row r="33" spans="1:13" ht="15" x14ac:dyDescent="0.2">
      <c r="A33" s="147"/>
      <c r="B33" s="146"/>
      <c r="C33" s="48"/>
      <c r="D33" s="146"/>
      <c r="E33" s="48"/>
      <c r="F33" s="146"/>
      <c r="G33" s="48"/>
      <c r="H33" s="146"/>
      <c r="I33" s="146"/>
      <c r="J33" s="48"/>
      <c r="K33" s="146"/>
      <c r="L33" s="48"/>
      <c r="M33" s="146"/>
    </row>
    <row r="34" spans="1:13" ht="12.75" customHeight="1" x14ac:dyDescent="0.2">
      <c r="A34" s="47" t="s">
        <v>78</v>
      </c>
      <c r="B34" s="146">
        <v>1</v>
      </c>
      <c r="C34" s="146">
        <v>0</v>
      </c>
      <c r="D34" s="146">
        <v>15</v>
      </c>
      <c r="E34" s="146">
        <v>0</v>
      </c>
      <c r="F34" s="146">
        <v>3</v>
      </c>
      <c r="G34" s="146">
        <v>38</v>
      </c>
      <c r="H34" s="146">
        <v>79</v>
      </c>
      <c r="I34" s="146">
        <v>132</v>
      </c>
      <c r="J34" s="146">
        <v>10</v>
      </c>
      <c r="K34" s="146">
        <v>0</v>
      </c>
      <c r="L34" s="146">
        <v>7</v>
      </c>
      <c r="M34" s="146">
        <v>0</v>
      </c>
    </row>
    <row r="35" spans="1:13" ht="12.75" customHeight="1" x14ac:dyDescent="0.2">
      <c r="A35" s="47" t="s">
        <v>128</v>
      </c>
      <c r="B35" s="147">
        <v>0</v>
      </c>
      <c r="C35" s="147">
        <v>0</v>
      </c>
      <c r="D35" s="147">
        <v>2</v>
      </c>
      <c r="E35" s="147">
        <v>0</v>
      </c>
      <c r="F35" s="147">
        <v>1</v>
      </c>
      <c r="G35" s="147">
        <v>4</v>
      </c>
      <c r="H35" s="147">
        <v>7</v>
      </c>
      <c r="I35" s="147">
        <v>14</v>
      </c>
      <c r="J35" s="147">
        <v>1</v>
      </c>
      <c r="K35" s="147">
        <v>0</v>
      </c>
      <c r="L35" s="147">
        <v>2</v>
      </c>
      <c r="M35" s="147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981D-0FE3-4B11-B168-0D1F3C20F1A3}">
  <dimension ref="A1:M37"/>
  <sheetViews>
    <sheetView workbookViewId="0">
      <selection activeCell="T13" sqref="S13:T13"/>
    </sheetView>
  </sheetViews>
  <sheetFormatPr defaultRowHeight="12.75" x14ac:dyDescent="0.2"/>
  <cols>
    <col min="1" max="1" width="36.5" customWidth="1"/>
  </cols>
  <sheetData>
    <row r="1" spans="1:13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</row>
    <row r="2" spans="1:13" ht="14.25" x14ac:dyDescent="0.2">
      <c r="A2" s="147">
        <v>1</v>
      </c>
      <c r="B2" s="146">
        <v>0</v>
      </c>
      <c r="C2" s="146">
        <v>0</v>
      </c>
      <c r="D2" s="146">
        <v>0</v>
      </c>
      <c r="E2" s="146">
        <v>0</v>
      </c>
      <c r="F2" s="146">
        <v>0</v>
      </c>
      <c r="G2" s="146">
        <v>0</v>
      </c>
      <c r="H2" s="146">
        <v>9</v>
      </c>
      <c r="I2" s="146">
        <v>2</v>
      </c>
      <c r="J2" s="146">
        <v>0</v>
      </c>
      <c r="K2" s="146">
        <v>0</v>
      </c>
      <c r="L2" s="146">
        <v>0</v>
      </c>
      <c r="M2" s="146">
        <v>0</v>
      </c>
    </row>
    <row r="3" spans="1:13" ht="14.25" x14ac:dyDescent="0.2">
      <c r="A3" s="147">
        <v>2</v>
      </c>
      <c r="B3" s="146">
        <v>0</v>
      </c>
      <c r="C3" s="146">
        <v>0</v>
      </c>
      <c r="D3" s="146">
        <v>0</v>
      </c>
      <c r="E3" s="146">
        <v>0</v>
      </c>
      <c r="F3" s="146">
        <v>0</v>
      </c>
      <c r="G3" s="146">
        <v>0</v>
      </c>
      <c r="H3" s="146">
        <v>1</v>
      </c>
      <c r="I3" s="146">
        <v>16</v>
      </c>
      <c r="J3" s="146">
        <v>0</v>
      </c>
      <c r="K3" s="146">
        <v>0</v>
      </c>
      <c r="L3" s="146">
        <v>0</v>
      </c>
      <c r="M3" s="146">
        <v>0</v>
      </c>
    </row>
    <row r="4" spans="1:13" ht="14.25" x14ac:dyDescent="0.2">
      <c r="A4" s="147">
        <v>3</v>
      </c>
      <c r="B4" s="146">
        <v>0</v>
      </c>
      <c r="C4" s="146">
        <v>0</v>
      </c>
      <c r="D4" s="146">
        <v>0</v>
      </c>
      <c r="E4" s="146">
        <v>0</v>
      </c>
      <c r="F4" s="146">
        <v>0</v>
      </c>
      <c r="G4" s="146">
        <v>0</v>
      </c>
      <c r="H4" s="146">
        <v>0</v>
      </c>
      <c r="I4" s="146">
        <v>20</v>
      </c>
      <c r="J4" s="146">
        <v>0</v>
      </c>
      <c r="K4" s="146">
        <v>0</v>
      </c>
      <c r="L4" s="146">
        <v>0</v>
      </c>
      <c r="M4" s="146">
        <v>0</v>
      </c>
    </row>
    <row r="5" spans="1:13" ht="14.25" x14ac:dyDescent="0.2">
      <c r="A5" s="147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1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</row>
    <row r="6" spans="1:13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6</v>
      </c>
      <c r="I6" s="146">
        <v>13</v>
      </c>
      <c r="J6" s="146">
        <v>15</v>
      </c>
      <c r="K6" s="146">
        <v>0</v>
      </c>
      <c r="L6" s="146">
        <v>0</v>
      </c>
      <c r="M6" s="146">
        <v>0</v>
      </c>
    </row>
    <row r="7" spans="1:13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15</v>
      </c>
      <c r="I7" s="146">
        <v>2</v>
      </c>
      <c r="J7" s="146">
        <v>15</v>
      </c>
      <c r="K7" s="146">
        <v>0</v>
      </c>
      <c r="L7" s="146">
        <v>0</v>
      </c>
      <c r="M7" s="146">
        <v>0</v>
      </c>
    </row>
    <row r="8" spans="1:13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35</v>
      </c>
      <c r="I8" s="146">
        <v>15</v>
      </c>
      <c r="J8" s="146">
        <v>0</v>
      </c>
      <c r="K8" s="146">
        <v>0</v>
      </c>
      <c r="L8" s="146">
        <v>0</v>
      </c>
      <c r="M8" s="146">
        <v>0</v>
      </c>
    </row>
    <row r="9" spans="1:13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3</v>
      </c>
      <c r="I9" s="146">
        <v>7</v>
      </c>
      <c r="J9" s="146">
        <v>0</v>
      </c>
      <c r="K9" s="146">
        <v>0</v>
      </c>
      <c r="L9" s="146">
        <v>0</v>
      </c>
      <c r="M9" s="146">
        <v>0</v>
      </c>
    </row>
    <row r="10" spans="1:13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12</v>
      </c>
      <c r="J10" s="146">
        <v>0</v>
      </c>
      <c r="K10" s="146">
        <v>0</v>
      </c>
      <c r="L10" s="146">
        <v>0</v>
      </c>
      <c r="M10" s="146">
        <v>0</v>
      </c>
    </row>
    <row r="11" spans="1:13" ht="14.25" x14ac:dyDescent="0.2">
      <c r="A11" s="147">
        <v>10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0</v>
      </c>
      <c r="I11" s="146">
        <v>5</v>
      </c>
      <c r="J11" s="146">
        <v>5</v>
      </c>
      <c r="K11" s="146">
        <v>0</v>
      </c>
      <c r="L11" s="146">
        <v>0</v>
      </c>
      <c r="M11" s="146">
        <v>0</v>
      </c>
    </row>
    <row r="12" spans="1:13" ht="14.2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6">
        <v>2</v>
      </c>
      <c r="J12" s="146">
        <v>0</v>
      </c>
      <c r="K12" s="146">
        <v>0</v>
      </c>
      <c r="L12" s="146">
        <v>0</v>
      </c>
      <c r="M12" s="146">
        <v>0</v>
      </c>
    </row>
    <row r="13" spans="1:13" ht="14.25" x14ac:dyDescent="0.2">
      <c r="A13" s="147">
        <v>12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  <c r="I13" s="146">
        <v>0</v>
      </c>
      <c r="J13" s="146">
        <v>0</v>
      </c>
      <c r="K13" s="146">
        <v>0</v>
      </c>
      <c r="L13" s="146">
        <v>0</v>
      </c>
      <c r="M13" s="146">
        <v>0</v>
      </c>
    </row>
    <row r="14" spans="1:13" ht="14.2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0</v>
      </c>
      <c r="J14" s="146">
        <v>4</v>
      </c>
      <c r="K14" s="146">
        <v>0</v>
      </c>
      <c r="L14" s="146">
        <v>0</v>
      </c>
      <c r="M14" s="146">
        <v>0</v>
      </c>
    </row>
    <row r="15" spans="1:13" ht="14.25" x14ac:dyDescent="0.2">
      <c r="A15" s="147">
        <v>14</v>
      </c>
      <c r="B15" s="146">
        <v>0</v>
      </c>
      <c r="C15" s="146">
        <v>8</v>
      </c>
      <c r="D15" s="146">
        <v>0</v>
      </c>
      <c r="E15" s="146">
        <v>0</v>
      </c>
      <c r="F15" s="146">
        <v>0</v>
      </c>
      <c r="G15" s="146">
        <v>1</v>
      </c>
      <c r="H15" s="146">
        <v>0</v>
      </c>
      <c r="I15" s="146">
        <v>20</v>
      </c>
      <c r="J15" s="146">
        <v>3</v>
      </c>
      <c r="K15" s="146">
        <v>0</v>
      </c>
      <c r="L15" s="146">
        <v>0</v>
      </c>
      <c r="M15" s="146">
        <v>0</v>
      </c>
    </row>
    <row r="16" spans="1:13" ht="14.25" x14ac:dyDescent="0.2">
      <c r="A16" s="147">
        <v>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  <c r="I16" s="148">
        <v>125</v>
      </c>
      <c r="J16" s="146">
        <v>20</v>
      </c>
      <c r="K16" s="146">
        <v>0</v>
      </c>
      <c r="L16" s="146">
        <v>0</v>
      </c>
      <c r="M16" s="146">
        <v>0</v>
      </c>
    </row>
    <row r="17" spans="1:13" ht="14.25" x14ac:dyDescent="0.2">
      <c r="A17" s="147">
        <v>16</v>
      </c>
      <c r="B17" s="146">
        <v>0</v>
      </c>
      <c r="C17" s="146">
        <v>0</v>
      </c>
      <c r="D17" s="146">
        <v>0</v>
      </c>
      <c r="E17" s="146">
        <v>1</v>
      </c>
      <c r="F17" s="146">
        <v>0</v>
      </c>
      <c r="G17" s="146">
        <v>0</v>
      </c>
      <c r="H17" s="146">
        <v>0</v>
      </c>
      <c r="I17" s="146">
        <v>92</v>
      </c>
      <c r="J17" s="146">
        <v>5</v>
      </c>
      <c r="K17" s="146">
        <v>0</v>
      </c>
      <c r="L17" s="146">
        <v>0</v>
      </c>
      <c r="M17" s="146">
        <v>0</v>
      </c>
    </row>
    <row r="18" spans="1:13" ht="14.25" x14ac:dyDescent="0.2">
      <c r="A18" s="147">
        <v>17</v>
      </c>
      <c r="B18" s="146">
        <v>0</v>
      </c>
      <c r="C18" s="146">
        <v>0</v>
      </c>
      <c r="D18" s="146">
        <v>0</v>
      </c>
      <c r="E18" s="146">
        <v>7</v>
      </c>
      <c r="F18" s="146">
        <v>0</v>
      </c>
      <c r="G18" s="146">
        <v>0</v>
      </c>
      <c r="H18" s="146">
        <v>0</v>
      </c>
      <c r="I18" s="146">
        <v>23</v>
      </c>
      <c r="J18" s="146">
        <v>0</v>
      </c>
      <c r="K18" s="146">
        <v>0</v>
      </c>
      <c r="L18" s="146">
        <v>0</v>
      </c>
      <c r="M18" s="146">
        <v>0</v>
      </c>
    </row>
    <row r="19" spans="1:13" ht="14.25" x14ac:dyDescent="0.2">
      <c r="A19" s="147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  <c r="I19" s="146">
        <v>13</v>
      </c>
      <c r="J19" s="146">
        <v>0</v>
      </c>
      <c r="K19" s="146">
        <v>0</v>
      </c>
      <c r="L19" s="146">
        <v>0</v>
      </c>
      <c r="M19" s="146">
        <v>0</v>
      </c>
    </row>
    <row r="20" spans="1:13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25</v>
      </c>
      <c r="H20" s="146">
        <v>0</v>
      </c>
      <c r="I20" s="146">
        <v>1</v>
      </c>
      <c r="J20" s="146">
        <v>0</v>
      </c>
      <c r="K20" s="146">
        <v>0</v>
      </c>
      <c r="L20" s="146">
        <v>0</v>
      </c>
      <c r="M20" s="146">
        <v>0</v>
      </c>
    </row>
    <row r="21" spans="1:13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7</v>
      </c>
      <c r="H21" s="146">
        <v>0</v>
      </c>
      <c r="I21" s="146">
        <v>0</v>
      </c>
      <c r="J21" s="146">
        <v>0</v>
      </c>
      <c r="K21" s="146">
        <v>0</v>
      </c>
      <c r="L21" s="146">
        <v>0</v>
      </c>
      <c r="M21" s="146">
        <v>0</v>
      </c>
    </row>
    <row r="22" spans="1:13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1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</row>
    <row r="23" spans="1:13" ht="14.25" x14ac:dyDescent="0.2">
      <c r="A23" s="147">
        <v>22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0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</row>
    <row r="24" spans="1:13" ht="14.25" x14ac:dyDescent="0.2">
      <c r="A24" s="147">
        <v>23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  <c r="I24" s="146">
        <v>2</v>
      </c>
      <c r="J24" s="146">
        <v>0</v>
      </c>
      <c r="K24" s="146">
        <v>0</v>
      </c>
      <c r="L24" s="146">
        <v>0</v>
      </c>
      <c r="M24" s="146">
        <v>0</v>
      </c>
    </row>
    <row r="25" spans="1:13" ht="14.25" x14ac:dyDescent="0.2">
      <c r="A25" s="147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0</v>
      </c>
      <c r="I25" s="146">
        <v>0</v>
      </c>
      <c r="J25" s="146">
        <v>0</v>
      </c>
      <c r="K25" s="146">
        <v>0</v>
      </c>
      <c r="L25" s="146">
        <v>0</v>
      </c>
      <c r="M25" s="146">
        <v>0</v>
      </c>
    </row>
    <row r="26" spans="1:13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0</v>
      </c>
      <c r="H26" s="146">
        <v>48</v>
      </c>
      <c r="I26" s="146">
        <v>16</v>
      </c>
      <c r="J26" s="146">
        <v>5</v>
      </c>
      <c r="K26" s="146">
        <v>0</v>
      </c>
      <c r="L26" s="146">
        <v>0</v>
      </c>
      <c r="M26" s="146">
        <v>0</v>
      </c>
    </row>
    <row r="27" spans="1:13" ht="14.25" x14ac:dyDescent="0.2">
      <c r="A27" s="147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15</v>
      </c>
      <c r="I27" s="146">
        <v>28</v>
      </c>
      <c r="J27" s="146">
        <v>0</v>
      </c>
      <c r="K27" s="146">
        <v>0</v>
      </c>
      <c r="L27" s="146">
        <v>0</v>
      </c>
      <c r="M27" s="146">
        <v>0</v>
      </c>
    </row>
    <row r="28" spans="1:13" ht="14.25" x14ac:dyDescent="0.2">
      <c r="A28" s="147">
        <v>27</v>
      </c>
      <c r="B28" s="146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20</v>
      </c>
      <c r="I28" s="146">
        <v>22</v>
      </c>
      <c r="J28" s="146">
        <v>0</v>
      </c>
      <c r="K28" s="146">
        <v>0</v>
      </c>
      <c r="L28" s="146">
        <v>0</v>
      </c>
      <c r="M28" s="146">
        <v>0</v>
      </c>
    </row>
    <row r="29" spans="1:13" ht="14.25" x14ac:dyDescent="0.2">
      <c r="A29" s="147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0</v>
      </c>
      <c r="H29" s="146">
        <v>1</v>
      </c>
      <c r="I29" s="146">
        <v>1</v>
      </c>
      <c r="J29" s="146">
        <v>13</v>
      </c>
      <c r="K29" s="146">
        <v>0</v>
      </c>
      <c r="L29" s="146">
        <v>0</v>
      </c>
      <c r="M29" s="146">
        <v>0</v>
      </c>
    </row>
    <row r="30" spans="1:13" ht="15" x14ac:dyDescent="0.2">
      <c r="A30" s="147">
        <v>29</v>
      </c>
      <c r="B30" s="146">
        <v>0</v>
      </c>
      <c r="C30" s="48"/>
      <c r="D30" s="146">
        <v>0</v>
      </c>
      <c r="E30" s="146">
        <v>0</v>
      </c>
      <c r="F30" s="146">
        <v>0</v>
      </c>
      <c r="G30" s="146">
        <v>2</v>
      </c>
      <c r="H30" s="146">
        <v>25</v>
      </c>
      <c r="I30" s="146">
        <v>10</v>
      </c>
      <c r="J30" s="146">
        <v>0</v>
      </c>
      <c r="K30" s="146">
        <v>0</v>
      </c>
      <c r="L30" s="146">
        <v>0</v>
      </c>
      <c r="M30" s="146">
        <v>0</v>
      </c>
    </row>
    <row r="31" spans="1:13" ht="15" x14ac:dyDescent="0.2">
      <c r="A31" s="147">
        <v>30</v>
      </c>
      <c r="B31" s="146">
        <v>0</v>
      </c>
      <c r="C31" s="48"/>
      <c r="D31" s="146">
        <v>0</v>
      </c>
      <c r="E31" s="146">
        <v>0</v>
      </c>
      <c r="F31" s="146">
        <v>0</v>
      </c>
      <c r="G31" s="146">
        <v>0</v>
      </c>
      <c r="H31" s="146">
        <v>0</v>
      </c>
      <c r="I31" s="146">
        <v>38</v>
      </c>
      <c r="J31" s="146">
        <v>63</v>
      </c>
      <c r="K31" s="146">
        <v>0</v>
      </c>
      <c r="L31" s="146">
        <v>0</v>
      </c>
      <c r="M31" s="146">
        <v>0</v>
      </c>
    </row>
    <row r="32" spans="1:13" ht="15" x14ac:dyDescent="0.2">
      <c r="A32" s="147">
        <v>31</v>
      </c>
      <c r="B32" s="146">
        <v>0</v>
      </c>
      <c r="C32" s="48"/>
      <c r="D32" s="146">
        <v>0</v>
      </c>
      <c r="E32" s="48"/>
      <c r="F32" s="146">
        <v>0</v>
      </c>
      <c r="G32" s="48"/>
      <c r="H32" s="146">
        <v>0</v>
      </c>
      <c r="I32" s="146">
        <v>0</v>
      </c>
      <c r="J32" s="48"/>
      <c r="K32" s="146">
        <v>0</v>
      </c>
      <c r="L32" s="48"/>
      <c r="M32" s="146">
        <v>0</v>
      </c>
    </row>
    <row r="34" spans="1:13" ht="12.75" customHeight="1" x14ac:dyDescent="0.2">
      <c r="A34" s="47" t="s">
        <v>78</v>
      </c>
      <c r="B34" s="146">
        <v>0</v>
      </c>
      <c r="C34" s="146">
        <v>8</v>
      </c>
      <c r="D34" s="146">
        <v>0</v>
      </c>
      <c r="E34" s="146">
        <v>8</v>
      </c>
      <c r="F34" s="146">
        <v>0</v>
      </c>
      <c r="G34" s="146">
        <v>35</v>
      </c>
      <c r="H34" s="146">
        <v>180</v>
      </c>
      <c r="I34" s="146">
        <v>485</v>
      </c>
      <c r="J34" s="146">
        <v>148</v>
      </c>
      <c r="K34" s="146">
        <v>0</v>
      </c>
      <c r="L34" s="146">
        <v>0</v>
      </c>
      <c r="M34" s="146">
        <v>0</v>
      </c>
    </row>
    <row r="35" spans="1:13" ht="12.75" customHeight="1" x14ac:dyDescent="0.2">
      <c r="A35" s="47" t="s">
        <v>128</v>
      </c>
      <c r="B35" s="147">
        <v>0</v>
      </c>
      <c r="C35" s="147">
        <v>1</v>
      </c>
      <c r="D35" s="147">
        <v>0</v>
      </c>
      <c r="E35" s="147">
        <v>1</v>
      </c>
      <c r="F35" s="147">
        <v>0</v>
      </c>
      <c r="G35" s="147">
        <v>2</v>
      </c>
      <c r="H35" s="147">
        <v>9</v>
      </c>
      <c r="I35" s="147">
        <v>17</v>
      </c>
      <c r="J35" s="147">
        <v>10</v>
      </c>
      <c r="K35" s="147">
        <v>0</v>
      </c>
      <c r="L35" s="147">
        <v>0</v>
      </c>
      <c r="M35" s="147">
        <v>0</v>
      </c>
    </row>
    <row r="36" spans="1:13" ht="12.75" customHeight="1" x14ac:dyDescent="0.2">
      <c r="A36" s="47" t="s">
        <v>129</v>
      </c>
      <c r="B36" s="147">
        <v>31</v>
      </c>
      <c r="C36" s="147">
        <v>28</v>
      </c>
      <c r="D36" s="147">
        <v>31</v>
      </c>
      <c r="E36" s="147">
        <v>30</v>
      </c>
      <c r="F36" s="147">
        <v>31</v>
      </c>
      <c r="G36" s="147">
        <v>30</v>
      </c>
      <c r="H36" s="147">
        <v>31</v>
      </c>
      <c r="I36" s="147">
        <v>31</v>
      </c>
      <c r="J36" s="147">
        <v>30</v>
      </c>
      <c r="K36" s="147">
        <v>31</v>
      </c>
      <c r="L36" s="147">
        <v>30</v>
      </c>
      <c r="M36" s="147">
        <v>31</v>
      </c>
    </row>
    <row r="37" spans="1:13" ht="12.75" customHeight="1" x14ac:dyDescent="0.2">
      <c r="A37" s="38" t="s">
        <v>51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0D94-AFAA-41A6-877A-D75675C76B2E}">
  <dimension ref="A1:O37"/>
  <sheetViews>
    <sheetView workbookViewId="0">
      <selection activeCell="A34" sqref="A34:A36"/>
    </sheetView>
  </sheetViews>
  <sheetFormatPr defaultRowHeight="12.75" x14ac:dyDescent="0.2"/>
  <cols>
    <col min="1" max="1" width="28.6640625" customWidth="1"/>
  </cols>
  <sheetData>
    <row r="1" spans="1:15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  <c r="N1" s="45"/>
      <c r="O1" s="45"/>
    </row>
    <row r="2" spans="1:15" ht="14.25" x14ac:dyDescent="0.2">
      <c r="A2" s="147">
        <v>1</v>
      </c>
      <c r="B2" s="146">
        <v>0</v>
      </c>
      <c r="C2" s="146">
        <v>0</v>
      </c>
      <c r="D2" s="146">
        <v>0</v>
      </c>
      <c r="E2" s="146">
        <v>0</v>
      </c>
      <c r="F2" s="146">
        <v>0</v>
      </c>
      <c r="G2" s="146">
        <v>0</v>
      </c>
      <c r="H2" s="146">
        <v>0</v>
      </c>
      <c r="I2" s="146">
        <v>0</v>
      </c>
      <c r="J2" s="146">
        <v>0</v>
      </c>
      <c r="K2" s="146">
        <v>0</v>
      </c>
      <c r="L2" s="146">
        <v>0</v>
      </c>
      <c r="M2" s="146">
        <v>0</v>
      </c>
      <c r="N2" s="42"/>
      <c r="O2" s="42"/>
    </row>
    <row r="3" spans="1:15" ht="14.25" x14ac:dyDescent="0.2">
      <c r="A3" s="147">
        <v>2</v>
      </c>
      <c r="B3" s="146">
        <v>0</v>
      </c>
      <c r="C3" s="146">
        <v>0</v>
      </c>
      <c r="D3" s="146">
        <v>0</v>
      </c>
      <c r="E3" s="146">
        <v>0</v>
      </c>
      <c r="F3" s="146">
        <v>0</v>
      </c>
      <c r="G3" s="146">
        <v>0</v>
      </c>
      <c r="H3" s="146">
        <v>0</v>
      </c>
      <c r="I3" s="146">
        <v>0</v>
      </c>
      <c r="J3" s="146">
        <v>2</v>
      </c>
      <c r="K3" s="146">
        <v>0</v>
      </c>
      <c r="L3" s="146">
        <v>0</v>
      </c>
      <c r="M3" s="146">
        <v>0</v>
      </c>
      <c r="N3" s="42"/>
      <c r="O3" s="42"/>
    </row>
    <row r="4" spans="1:15" ht="14.25" x14ac:dyDescent="0.2">
      <c r="A4" s="147">
        <v>3</v>
      </c>
      <c r="B4" s="146">
        <v>0</v>
      </c>
      <c r="C4" s="146">
        <v>0</v>
      </c>
      <c r="D4" s="146">
        <v>0</v>
      </c>
      <c r="E4" s="146">
        <v>0</v>
      </c>
      <c r="F4" s="146">
        <v>0</v>
      </c>
      <c r="G4" s="146">
        <v>0</v>
      </c>
      <c r="H4" s="146">
        <v>0</v>
      </c>
      <c r="I4" s="146">
        <v>0</v>
      </c>
      <c r="J4" s="146">
        <v>19</v>
      </c>
      <c r="K4" s="146">
        <v>0</v>
      </c>
      <c r="L4" s="146">
        <v>0</v>
      </c>
      <c r="M4" s="146">
        <v>0</v>
      </c>
      <c r="N4" s="42"/>
      <c r="O4" s="42"/>
    </row>
    <row r="5" spans="1:15" ht="14.25" x14ac:dyDescent="0.2">
      <c r="A5" s="147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20</v>
      </c>
      <c r="K5" s="146">
        <v>0</v>
      </c>
      <c r="L5" s="146">
        <v>0</v>
      </c>
      <c r="M5" s="146">
        <v>0</v>
      </c>
      <c r="N5" s="42"/>
      <c r="O5" s="42"/>
    </row>
    <row r="6" spans="1:15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0</v>
      </c>
      <c r="I6" s="146">
        <v>0</v>
      </c>
      <c r="J6" s="146">
        <v>0</v>
      </c>
      <c r="K6" s="146">
        <v>0</v>
      </c>
      <c r="L6" s="146">
        <v>0</v>
      </c>
      <c r="M6" s="146">
        <v>0</v>
      </c>
      <c r="N6" s="42"/>
      <c r="O6" s="42"/>
    </row>
    <row r="7" spans="1:15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7</v>
      </c>
      <c r="I7" s="146">
        <v>0</v>
      </c>
      <c r="J7" s="146">
        <v>0</v>
      </c>
      <c r="K7" s="146">
        <v>0</v>
      </c>
      <c r="L7" s="146">
        <v>0</v>
      </c>
      <c r="M7" s="146">
        <v>0</v>
      </c>
      <c r="N7" s="42"/>
      <c r="O7" s="42"/>
    </row>
    <row r="8" spans="1:15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10</v>
      </c>
      <c r="K8" s="146">
        <v>0</v>
      </c>
      <c r="L8" s="146">
        <v>0</v>
      </c>
      <c r="M8" s="146">
        <v>0</v>
      </c>
      <c r="N8" s="42"/>
      <c r="O8" s="42"/>
    </row>
    <row r="9" spans="1:15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0</v>
      </c>
      <c r="I9" s="146">
        <v>1</v>
      </c>
      <c r="J9" s="146">
        <v>27</v>
      </c>
      <c r="K9" s="146">
        <v>0</v>
      </c>
      <c r="L9" s="146">
        <v>0</v>
      </c>
      <c r="M9" s="146">
        <v>0</v>
      </c>
      <c r="N9" s="42"/>
      <c r="O9" s="42"/>
    </row>
    <row r="10" spans="1:15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29</v>
      </c>
      <c r="J10" s="148">
        <v>64</v>
      </c>
      <c r="K10" s="146">
        <v>0</v>
      </c>
      <c r="L10" s="146">
        <v>0</v>
      </c>
      <c r="M10" s="146">
        <v>0</v>
      </c>
      <c r="N10" s="42"/>
      <c r="O10" s="42"/>
    </row>
    <row r="11" spans="1:15" ht="14.25" x14ac:dyDescent="0.2">
      <c r="A11" s="147">
        <v>10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0</v>
      </c>
      <c r="I11" s="146">
        <v>4</v>
      </c>
      <c r="J11" s="146">
        <v>0</v>
      </c>
      <c r="K11" s="146">
        <v>0</v>
      </c>
      <c r="L11" s="146">
        <v>0</v>
      </c>
      <c r="M11" s="146">
        <v>0</v>
      </c>
      <c r="N11" s="42"/>
      <c r="O11" s="42"/>
    </row>
    <row r="12" spans="1:15" ht="14.2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1</v>
      </c>
      <c r="H12" s="146">
        <v>0</v>
      </c>
      <c r="I12" s="146">
        <v>0</v>
      </c>
      <c r="J12" s="146">
        <v>5</v>
      </c>
      <c r="K12" s="146">
        <v>0</v>
      </c>
      <c r="L12" s="146">
        <v>0</v>
      </c>
      <c r="M12" s="146">
        <v>0</v>
      </c>
      <c r="N12" s="42"/>
      <c r="O12" s="42"/>
    </row>
    <row r="13" spans="1:15" ht="14.25" x14ac:dyDescent="0.2">
      <c r="A13" s="147">
        <v>12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  <c r="I13" s="146">
        <v>0</v>
      </c>
      <c r="J13" s="146">
        <v>26</v>
      </c>
      <c r="K13" s="146">
        <v>0</v>
      </c>
      <c r="L13" s="146">
        <v>0</v>
      </c>
      <c r="M13" s="146">
        <v>0</v>
      </c>
      <c r="N13" s="42"/>
      <c r="O13" s="42"/>
    </row>
    <row r="14" spans="1:15" ht="14.2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28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42"/>
      <c r="O14" s="42"/>
    </row>
    <row r="15" spans="1:15" ht="14.25" x14ac:dyDescent="0.2">
      <c r="A15" s="147">
        <v>14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31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42"/>
      <c r="O15" s="42"/>
    </row>
    <row r="16" spans="1:15" ht="14.25" x14ac:dyDescent="0.2">
      <c r="A16" s="147">
        <v>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9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42"/>
      <c r="O16" s="42"/>
    </row>
    <row r="17" spans="1:15" ht="14.25" x14ac:dyDescent="0.2">
      <c r="A17" s="147">
        <v>16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42"/>
      <c r="O17" s="42"/>
    </row>
    <row r="18" spans="1:15" ht="14.25" x14ac:dyDescent="0.2">
      <c r="A18" s="147">
        <v>17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1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  <c r="N18" s="42"/>
      <c r="O18" s="42"/>
    </row>
    <row r="19" spans="1:15" ht="14.25" x14ac:dyDescent="0.2">
      <c r="A19" s="147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  <c r="I19" s="146">
        <v>0</v>
      </c>
      <c r="J19" s="146">
        <v>0</v>
      </c>
      <c r="K19" s="146">
        <v>0</v>
      </c>
      <c r="L19" s="146">
        <v>0</v>
      </c>
      <c r="M19" s="146">
        <v>0</v>
      </c>
      <c r="N19" s="42"/>
      <c r="O19" s="42"/>
    </row>
    <row r="20" spans="1:15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3</v>
      </c>
      <c r="I20" s="146">
        <v>2</v>
      </c>
      <c r="J20" s="146">
        <v>0</v>
      </c>
      <c r="K20" s="146">
        <v>0</v>
      </c>
      <c r="L20" s="146">
        <v>0</v>
      </c>
      <c r="M20" s="146">
        <v>0</v>
      </c>
      <c r="N20" s="42"/>
      <c r="O20" s="42"/>
    </row>
    <row r="21" spans="1:15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0</v>
      </c>
      <c r="H21" s="148">
        <v>64</v>
      </c>
      <c r="I21" s="146">
        <v>3</v>
      </c>
      <c r="J21" s="146">
        <v>0</v>
      </c>
      <c r="K21" s="146">
        <v>0</v>
      </c>
      <c r="L21" s="146">
        <v>0</v>
      </c>
      <c r="M21" s="146">
        <v>0</v>
      </c>
      <c r="N21" s="42"/>
      <c r="O21" s="42"/>
    </row>
    <row r="22" spans="1:15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21</v>
      </c>
      <c r="I22" s="146">
        <v>42</v>
      </c>
      <c r="J22" s="146">
        <v>0</v>
      </c>
      <c r="K22" s="146">
        <v>0</v>
      </c>
      <c r="L22" s="146">
        <v>0</v>
      </c>
      <c r="M22" s="146">
        <v>0</v>
      </c>
      <c r="N22" s="42"/>
      <c r="O22" s="42"/>
    </row>
    <row r="23" spans="1:15" ht="14.25" x14ac:dyDescent="0.2">
      <c r="A23" s="147">
        <v>22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28</v>
      </c>
      <c r="I23" s="146">
        <v>9</v>
      </c>
      <c r="J23" s="146">
        <v>9</v>
      </c>
      <c r="K23" s="146">
        <v>0</v>
      </c>
      <c r="L23" s="146">
        <v>0</v>
      </c>
      <c r="M23" s="146">
        <v>0</v>
      </c>
      <c r="N23" s="42"/>
      <c r="O23" s="42"/>
    </row>
    <row r="24" spans="1:15" ht="14.25" x14ac:dyDescent="0.2">
      <c r="A24" s="147">
        <v>23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8</v>
      </c>
      <c r="I24" s="146">
        <v>11</v>
      </c>
      <c r="J24" s="146">
        <v>10</v>
      </c>
      <c r="K24" s="146">
        <v>0</v>
      </c>
      <c r="L24" s="146">
        <v>0</v>
      </c>
      <c r="M24" s="146">
        <v>0</v>
      </c>
      <c r="N24" s="42"/>
      <c r="O24" s="42"/>
    </row>
    <row r="25" spans="1:15" ht="14.25" x14ac:dyDescent="0.2">
      <c r="A25" s="147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10</v>
      </c>
      <c r="I25" s="146">
        <v>0</v>
      </c>
      <c r="J25" s="146">
        <v>11</v>
      </c>
      <c r="K25" s="146">
        <v>0</v>
      </c>
      <c r="L25" s="146">
        <v>0</v>
      </c>
      <c r="M25" s="146">
        <v>0</v>
      </c>
      <c r="N25" s="42"/>
      <c r="O25" s="42"/>
    </row>
    <row r="26" spans="1:15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0</v>
      </c>
      <c r="H26" s="146">
        <v>15</v>
      </c>
      <c r="I26" s="146">
        <v>0</v>
      </c>
      <c r="J26" s="146">
        <v>0</v>
      </c>
      <c r="K26" s="146">
        <v>0</v>
      </c>
      <c r="L26" s="146">
        <v>0</v>
      </c>
      <c r="M26" s="146">
        <v>0</v>
      </c>
      <c r="N26" s="42"/>
      <c r="O26" s="42"/>
    </row>
    <row r="27" spans="1:15" ht="14.25" x14ac:dyDescent="0.2">
      <c r="A27" s="147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24</v>
      </c>
      <c r="H27" s="146">
        <v>59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42"/>
      <c r="O27" s="42"/>
    </row>
    <row r="28" spans="1:15" ht="14.25" x14ac:dyDescent="0.2">
      <c r="A28" s="147">
        <v>27</v>
      </c>
      <c r="B28" s="146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0</v>
      </c>
      <c r="I28" s="146">
        <v>0</v>
      </c>
      <c r="J28" s="146">
        <v>0</v>
      </c>
      <c r="K28" s="146">
        <v>0</v>
      </c>
      <c r="L28" s="146">
        <v>0</v>
      </c>
      <c r="M28" s="146">
        <v>0</v>
      </c>
      <c r="N28" s="42"/>
      <c r="O28" s="42"/>
    </row>
    <row r="29" spans="1:15" ht="14.25" x14ac:dyDescent="0.2">
      <c r="A29" s="147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2</v>
      </c>
      <c r="H29" s="146">
        <v>0</v>
      </c>
      <c r="I29" s="146">
        <v>6</v>
      </c>
      <c r="J29" s="146">
        <v>0</v>
      </c>
      <c r="K29" s="146">
        <v>0</v>
      </c>
      <c r="L29" s="146">
        <v>0</v>
      </c>
      <c r="M29" s="146">
        <v>0</v>
      </c>
      <c r="N29" s="42"/>
      <c r="O29" s="42"/>
    </row>
    <row r="30" spans="1:15" ht="15" x14ac:dyDescent="0.2">
      <c r="A30" s="147">
        <v>29</v>
      </c>
      <c r="B30" s="146">
        <v>0</v>
      </c>
      <c r="C30" s="48"/>
      <c r="D30" s="146">
        <v>0</v>
      </c>
      <c r="E30" s="146">
        <v>0</v>
      </c>
      <c r="F30" s="146">
        <v>0</v>
      </c>
      <c r="G30" s="146">
        <v>13</v>
      </c>
      <c r="H30" s="146">
        <v>0</v>
      </c>
      <c r="I30" s="146">
        <v>3</v>
      </c>
      <c r="J30" s="146">
        <v>0</v>
      </c>
      <c r="K30" s="146">
        <v>0</v>
      </c>
      <c r="L30" s="146">
        <v>0</v>
      </c>
      <c r="M30" s="146">
        <v>0</v>
      </c>
      <c r="N30" s="42"/>
      <c r="O30" s="42"/>
    </row>
    <row r="31" spans="1:15" ht="15" x14ac:dyDescent="0.2">
      <c r="A31" s="147">
        <v>30</v>
      </c>
      <c r="B31" s="146">
        <v>0</v>
      </c>
      <c r="C31" s="48"/>
      <c r="D31" s="146">
        <v>0</v>
      </c>
      <c r="E31" s="146">
        <v>0</v>
      </c>
      <c r="F31" s="146">
        <v>0</v>
      </c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42"/>
      <c r="O31" s="42"/>
    </row>
    <row r="32" spans="1:15" ht="15" x14ac:dyDescent="0.2">
      <c r="A32" s="147">
        <v>31</v>
      </c>
      <c r="B32" s="146">
        <v>0</v>
      </c>
      <c r="C32" s="48"/>
      <c r="D32" s="146">
        <v>0</v>
      </c>
      <c r="E32" s="48"/>
      <c r="F32" s="146">
        <v>0</v>
      </c>
      <c r="G32" s="48"/>
      <c r="H32" s="146">
        <v>0</v>
      </c>
      <c r="I32" s="146">
        <v>0</v>
      </c>
      <c r="J32" s="48"/>
      <c r="K32" s="146">
        <v>0</v>
      </c>
      <c r="L32" s="48"/>
      <c r="M32" s="146">
        <v>0</v>
      </c>
      <c r="N32" s="45"/>
      <c r="O32" s="45"/>
    </row>
    <row r="33" spans="1:15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</row>
    <row r="34" spans="1:15" ht="12.75" customHeight="1" x14ac:dyDescent="0.2">
      <c r="A34" s="47" t="s">
        <v>78</v>
      </c>
      <c r="B34" s="146">
        <v>0</v>
      </c>
      <c r="C34" s="146">
        <v>0</v>
      </c>
      <c r="D34" s="146">
        <v>0</v>
      </c>
      <c r="E34" s="146">
        <v>0</v>
      </c>
      <c r="F34" s="146">
        <v>0</v>
      </c>
      <c r="G34" s="146">
        <v>40</v>
      </c>
      <c r="H34" s="146">
        <v>284</v>
      </c>
      <c r="I34" s="146">
        <v>110</v>
      </c>
      <c r="J34" s="146">
        <v>203</v>
      </c>
      <c r="K34" s="146">
        <v>0</v>
      </c>
      <c r="L34" s="146">
        <v>0</v>
      </c>
      <c r="M34" s="146">
        <v>0</v>
      </c>
      <c r="N34" s="45"/>
      <c r="O34" s="45"/>
    </row>
    <row r="35" spans="1:15" ht="12.75" customHeight="1" x14ac:dyDescent="0.2">
      <c r="A35" s="47" t="s">
        <v>128</v>
      </c>
      <c r="B35" s="147">
        <v>0</v>
      </c>
      <c r="C35" s="147">
        <v>0</v>
      </c>
      <c r="D35" s="147">
        <v>0</v>
      </c>
      <c r="E35" s="147">
        <v>0</v>
      </c>
      <c r="F35" s="147">
        <v>0</v>
      </c>
      <c r="G35" s="147">
        <v>2</v>
      </c>
      <c r="H35" s="147">
        <v>12</v>
      </c>
      <c r="I35" s="147">
        <v>8</v>
      </c>
      <c r="J35" s="147">
        <v>10</v>
      </c>
      <c r="K35" s="147">
        <v>0</v>
      </c>
      <c r="L35" s="147">
        <v>0</v>
      </c>
      <c r="M35" s="147">
        <v>0</v>
      </c>
      <c r="N35" s="45"/>
      <c r="O35" s="45"/>
    </row>
    <row r="36" spans="1:15" ht="12.75" customHeight="1" x14ac:dyDescent="0.2">
      <c r="A36" s="47" t="s">
        <v>129</v>
      </c>
      <c r="B36" s="147">
        <v>31</v>
      </c>
      <c r="C36" s="147">
        <v>28</v>
      </c>
      <c r="D36" s="147">
        <v>31</v>
      </c>
      <c r="E36" s="147">
        <v>30</v>
      </c>
      <c r="F36" s="147">
        <v>31</v>
      </c>
      <c r="G36" s="147">
        <v>30</v>
      </c>
      <c r="H36" s="147">
        <v>31</v>
      </c>
      <c r="I36" s="147">
        <v>31</v>
      </c>
      <c r="J36" s="147">
        <v>30</v>
      </c>
      <c r="K36" s="147">
        <v>31</v>
      </c>
      <c r="L36" s="147">
        <v>30</v>
      </c>
      <c r="M36" s="147">
        <v>31</v>
      </c>
      <c r="N36" s="45"/>
      <c r="O36" s="45"/>
    </row>
    <row r="37" spans="1:15" ht="12.75" customHeight="1" x14ac:dyDescent="0.2">
      <c r="A37" s="38" t="s">
        <v>50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CDED-4CA3-4D4D-85C6-23594E45D904}">
  <dimension ref="A1:N37"/>
  <sheetViews>
    <sheetView workbookViewId="0">
      <selection activeCell="A34" sqref="A34:A36"/>
    </sheetView>
  </sheetViews>
  <sheetFormatPr defaultRowHeight="12.75" x14ac:dyDescent="0.2"/>
  <cols>
    <col min="1" max="1" width="27.1640625" customWidth="1"/>
  </cols>
  <sheetData>
    <row r="1" spans="1:14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  <c r="N1" s="45"/>
    </row>
    <row r="2" spans="1:14" ht="14.25" x14ac:dyDescent="0.2">
      <c r="A2" s="147">
        <v>1</v>
      </c>
      <c r="B2" s="146">
        <v>0</v>
      </c>
      <c r="C2" s="146">
        <v>0</v>
      </c>
      <c r="D2" s="146">
        <v>0</v>
      </c>
      <c r="E2" s="146">
        <v>0</v>
      </c>
      <c r="F2" s="146">
        <v>0</v>
      </c>
      <c r="G2" s="146">
        <v>0</v>
      </c>
      <c r="H2" s="146">
        <v>0</v>
      </c>
      <c r="I2" s="146">
        <v>13</v>
      </c>
      <c r="J2" s="146">
        <v>0</v>
      </c>
      <c r="K2" s="146">
        <v>0</v>
      </c>
      <c r="L2" s="146">
        <v>0</v>
      </c>
      <c r="M2" s="146">
        <v>0</v>
      </c>
      <c r="N2" s="42"/>
    </row>
    <row r="3" spans="1:14" ht="14.25" x14ac:dyDescent="0.2">
      <c r="A3" s="147">
        <v>2</v>
      </c>
      <c r="B3" s="146">
        <v>0</v>
      </c>
      <c r="C3" s="146">
        <v>0</v>
      </c>
      <c r="D3" s="146">
        <v>0</v>
      </c>
      <c r="E3" s="146">
        <v>0</v>
      </c>
      <c r="F3" s="146">
        <v>0</v>
      </c>
      <c r="G3" s="146">
        <v>0</v>
      </c>
      <c r="H3" s="146">
        <v>0</v>
      </c>
      <c r="I3" s="146">
        <v>0</v>
      </c>
      <c r="J3" s="146">
        <v>0</v>
      </c>
      <c r="K3" s="146">
        <v>0</v>
      </c>
      <c r="L3" s="146">
        <v>0</v>
      </c>
      <c r="M3" s="146">
        <v>0</v>
      </c>
      <c r="N3" s="42"/>
    </row>
    <row r="4" spans="1:14" ht="14.25" x14ac:dyDescent="0.2">
      <c r="A4" s="147">
        <v>3</v>
      </c>
      <c r="B4" s="146">
        <v>0</v>
      </c>
      <c r="C4" s="146">
        <v>0</v>
      </c>
      <c r="D4" s="146">
        <v>0</v>
      </c>
      <c r="E4" s="146">
        <v>0</v>
      </c>
      <c r="F4" s="146">
        <v>0</v>
      </c>
      <c r="G4" s="146">
        <v>0</v>
      </c>
      <c r="H4" s="146">
        <v>26</v>
      </c>
      <c r="I4" s="146">
        <v>0</v>
      </c>
      <c r="J4" s="146">
        <v>0</v>
      </c>
      <c r="K4" s="146">
        <v>0</v>
      </c>
      <c r="L4" s="146">
        <v>0</v>
      </c>
      <c r="M4" s="146">
        <v>0</v>
      </c>
      <c r="N4" s="42"/>
    </row>
    <row r="5" spans="1:14" ht="14.25" x14ac:dyDescent="0.2">
      <c r="A5" s="147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42"/>
    </row>
    <row r="6" spans="1:14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0</v>
      </c>
      <c r="I6" s="146">
        <v>0</v>
      </c>
      <c r="J6" s="146">
        <v>0</v>
      </c>
      <c r="K6" s="146">
        <v>0</v>
      </c>
      <c r="L6" s="146">
        <v>0</v>
      </c>
      <c r="M6" s="146">
        <v>2</v>
      </c>
      <c r="N6" s="42"/>
    </row>
    <row r="7" spans="1:14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0</v>
      </c>
      <c r="I7" s="146">
        <v>0</v>
      </c>
      <c r="J7" s="146">
        <v>0</v>
      </c>
      <c r="K7" s="146">
        <v>0</v>
      </c>
      <c r="L7" s="146">
        <v>0</v>
      </c>
      <c r="M7" s="146">
        <v>3</v>
      </c>
      <c r="N7" s="42"/>
    </row>
    <row r="8" spans="1:14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0</v>
      </c>
      <c r="K8" s="146">
        <v>0</v>
      </c>
      <c r="L8" s="146">
        <v>0</v>
      </c>
      <c r="M8" s="146">
        <v>0</v>
      </c>
      <c r="N8" s="42"/>
    </row>
    <row r="9" spans="1:14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5</v>
      </c>
      <c r="I9" s="146">
        <v>24</v>
      </c>
      <c r="J9" s="146">
        <v>0</v>
      </c>
      <c r="K9" s="146">
        <v>0</v>
      </c>
      <c r="L9" s="146">
        <v>0</v>
      </c>
      <c r="M9" s="146">
        <v>0</v>
      </c>
      <c r="N9" s="42"/>
    </row>
    <row r="10" spans="1:14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47</v>
      </c>
      <c r="J10" s="146">
        <v>0</v>
      </c>
      <c r="K10" s="146">
        <v>0</v>
      </c>
      <c r="L10" s="146">
        <v>0</v>
      </c>
      <c r="M10" s="146">
        <v>0</v>
      </c>
      <c r="N10" s="42"/>
    </row>
    <row r="11" spans="1:14" ht="14.25" x14ac:dyDescent="0.2">
      <c r="A11" s="147">
        <v>10</v>
      </c>
      <c r="B11" s="146">
        <v>0</v>
      </c>
      <c r="C11" s="146">
        <v>0</v>
      </c>
      <c r="D11" s="146">
        <v>1</v>
      </c>
      <c r="E11" s="146">
        <v>0</v>
      </c>
      <c r="F11" s="146">
        <v>0</v>
      </c>
      <c r="G11" s="146">
        <v>0</v>
      </c>
      <c r="H11" s="146">
        <v>0</v>
      </c>
      <c r="I11" s="146">
        <v>9</v>
      </c>
      <c r="J11" s="146">
        <v>0</v>
      </c>
      <c r="K11" s="146">
        <v>0</v>
      </c>
      <c r="L11" s="146">
        <v>0</v>
      </c>
      <c r="M11" s="146">
        <v>0</v>
      </c>
      <c r="N11" s="42"/>
    </row>
    <row r="12" spans="1:14" ht="14.2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6">
        <v>0</v>
      </c>
      <c r="J12" s="146">
        <v>0</v>
      </c>
      <c r="K12" s="146">
        <v>0</v>
      </c>
      <c r="L12" s="146">
        <v>0</v>
      </c>
      <c r="M12" s="146">
        <v>0</v>
      </c>
      <c r="N12" s="42"/>
    </row>
    <row r="13" spans="1:14" ht="14.25" x14ac:dyDescent="0.2">
      <c r="A13" s="147">
        <v>12</v>
      </c>
      <c r="B13" s="146">
        <v>0</v>
      </c>
      <c r="C13" s="146">
        <v>0</v>
      </c>
      <c r="D13" s="146">
        <v>5</v>
      </c>
      <c r="E13" s="146">
        <v>0</v>
      </c>
      <c r="F13" s="146">
        <v>0</v>
      </c>
      <c r="G13" s="146">
        <v>0</v>
      </c>
      <c r="H13" s="146">
        <v>0</v>
      </c>
      <c r="I13" s="146">
        <v>0</v>
      </c>
      <c r="J13" s="146">
        <v>0</v>
      </c>
      <c r="K13" s="146">
        <v>0</v>
      </c>
      <c r="L13" s="146">
        <v>0</v>
      </c>
      <c r="M13" s="146">
        <v>0</v>
      </c>
      <c r="N13" s="42"/>
    </row>
    <row r="14" spans="1:14" ht="14.2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0</v>
      </c>
      <c r="J14" s="146">
        <v>3</v>
      </c>
      <c r="K14" s="146">
        <v>0</v>
      </c>
      <c r="L14" s="146">
        <v>0</v>
      </c>
      <c r="M14" s="146">
        <v>0</v>
      </c>
      <c r="N14" s="42"/>
    </row>
    <row r="15" spans="1:14" ht="14.25" x14ac:dyDescent="0.2">
      <c r="A15" s="147">
        <v>14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0</v>
      </c>
      <c r="I15" s="146">
        <v>0</v>
      </c>
      <c r="J15" s="146">
        <v>11</v>
      </c>
      <c r="K15" s="146">
        <v>0</v>
      </c>
      <c r="L15" s="146">
        <v>0</v>
      </c>
      <c r="M15" s="146">
        <v>0</v>
      </c>
      <c r="N15" s="42"/>
    </row>
    <row r="16" spans="1:14" ht="14.25" x14ac:dyDescent="0.2">
      <c r="A16" s="147">
        <v>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42"/>
    </row>
    <row r="17" spans="1:14" ht="14.25" x14ac:dyDescent="0.2">
      <c r="A17" s="147">
        <v>16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10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42"/>
    </row>
    <row r="18" spans="1:14" ht="14.25" x14ac:dyDescent="0.2">
      <c r="A18" s="147">
        <v>17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0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  <c r="N18" s="42"/>
    </row>
    <row r="19" spans="1:14" ht="14.25" x14ac:dyDescent="0.2">
      <c r="A19" s="147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  <c r="I19" s="146">
        <v>0</v>
      </c>
      <c r="J19" s="146">
        <v>0</v>
      </c>
      <c r="K19" s="146">
        <v>0</v>
      </c>
      <c r="L19" s="146">
        <v>0</v>
      </c>
      <c r="M19" s="146">
        <v>0</v>
      </c>
      <c r="N19" s="42"/>
    </row>
    <row r="20" spans="1:14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42"/>
    </row>
    <row r="21" spans="1:14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3</v>
      </c>
      <c r="H21" s="146">
        <v>3</v>
      </c>
      <c r="I21" s="146">
        <v>1</v>
      </c>
      <c r="J21" s="146">
        <v>0</v>
      </c>
      <c r="K21" s="146">
        <v>0</v>
      </c>
      <c r="L21" s="146">
        <v>0</v>
      </c>
      <c r="M21" s="146">
        <v>0</v>
      </c>
      <c r="N21" s="42"/>
    </row>
    <row r="22" spans="1:14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15</v>
      </c>
      <c r="I22" s="146">
        <v>3</v>
      </c>
      <c r="J22" s="146">
        <v>0</v>
      </c>
      <c r="K22" s="146">
        <v>0</v>
      </c>
      <c r="L22" s="146">
        <v>0</v>
      </c>
      <c r="M22" s="146">
        <v>0</v>
      </c>
      <c r="N22" s="42"/>
    </row>
    <row r="23" spans="1:14" ht="14.25" x14ac:dyDescent="0.2">
      <c r="A23" s="147">
        <v>22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13</v>
      </c>
      <c r="H23" s="146">
        <v>7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  <c r="N23" s="42"/>
    </row>
    <row r="24" spans="1:14" ht="14.25" x14ac:dyDescent="0.2">
      <c r="A24" s="147">
        <v>23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16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42"/>
    </row>
    <row r="25" spans="1:14" ht="14.25" x14ac:dyDescent="0.2">
      <c r="A25" s="147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12</v>
      </c>
      <c r="I25" s="146">
        <v>0</v>
      </c>
      <c r="J25" s="146">
        <v>0</v>
      </c>
      <c r="K25" s="146">
        <v>0</v>
      </c>
      <c r="L25" s="146">
        <v>0</v>
      </c>
      <c r="M25" s="146">
        <v>0</v>
      </c>
      <c r="N25" s="42"/>
    </row>
    <row r="26" spans="1:14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0</v>
      </c>
      <c r="H26" s="146">
        <v>3</v>
      </c>
      <c r="I26" s="146">
        <v>15</v>
      </c>
      <c r="J26" s="146">
        <v>0</v>
      </c>
      <c r="K26" s="146">
        <v>0</v>
      </c>
      <c r="L26" s="146">
        <v>0</v>
      </c>
      <c r="M26" s="146">
        <v>0</v>
      </c>
      <c r="N26" s="42"/>
    </row>
    <row r="27" spans="1:14" ht="14.25" x14ac:dyDescent="0.2">
      <c r="A27" s="147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42"/>
    </row>
    <row r="28" spans="1:14" ht="14.25" x14ac:dyDescent="0.2">
      <c r="A28" s="147">
        <v>27</v>
      </c>
      <c r="B28" s="146">
        <v>10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2</v>
      </c>
      <c r="I28" s="148">
        <v>55</v>
      </c>
      <c r="J28" s="146">
        <v>0</v>
      </c>
      <c r="K28" s="146">
        <v>0</v>
      </c>
      <c r="L28" s="146">
        <v>0</v>
      </c>
      <c r="M28" s="146">
        <v>0</v>
      </c>
      <c r="N28" s="42"/>
    </row>
    <row r="29" spans="1:14" ht="14.25" x14ac:dyDescent="0.2">
      <c r="A29" s="147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0</v>
      </c>
      <c r="H29" s="146">
        <v>8</v>
      </c>
      <c r="I29" s="146">
        <v>0</v>
      </c>
      <c r="J29" s="146">
        <v>0</v>
      </c>
      <c r="K29" s="146">
        <v>0</v>
      </c>
      <c r="L29" s="146">
        <v>0</v>
      </c>
      <c r="M29" s="146">
        <v>0</v>
      </c>
      <c r="N29" s="42"/>
    </row>
    <row r="30" spans="1:14" ht="15" x14ac:dyDescent="0.2">
      <c r="A30" s="147">
        <v>29</v>
      </c>
      <c r="B30" s="146">
        <v>0</v>
      </c>
      <c r="C30" s="48"/>
      <c r="D30" s="146">
        <v>0</v>
      </c>
      <c r="E30" s="146">
        <v>0</v>
      </c>
      <c r="F30" s="146">
        <v>0</v>
      </c>
      <c r="G30" s="146">
        <v>5</v>
      </c>
      <c r="H30" s="146">
        <v>0</v>
      </c>
      <c r="I30" s="146">
        <v>8</v>
      </c>
      <c r="J30" s="146">
        <v>0</v>
      </c>
      <c r="K30" s="146">
        <v>0</v>
      </c>
      <c r="L30" s="146">
        <v>0</v>
      </c>
      <c r="M30" s="146">
        <v>0</v>
      </c>
      <c r="N30" s="42"/>
    </row>
    <row r="31" spans="1:14" ht="15" x14ac:dyDescent="0.2">
      <c r="A31" s="147">
        <v>30</v>
      </c>
      <c r="B31" s="146">
        <v>0</v>
      </c>
      <c r="C31" s="48"/>
      <c r="D31" s="146">
        <v>0</v>
      </c>
      <c r="E31" s="146">
        <v>0</v>
      </c>
      <c r="F31" s="146">
        <v>0</v>
      </c>
      <c r="G31" s="146">
        <v>0</v>
      </c>
      <c r="H31" s="146">
        <v>0</v>
      </c>
      <c r="I31" s="146">
        <v>5</v>
      </c>
      <c r="J31" s="146">
        <v>0</v>
      </c>
      <c r="K31" s="146">
        <v>0</v>
      </c>
      <c r="L31" s="146">
        <v>0</v>
      </c>
      <c r="M31" s="146">
        <v>0</v>
      </c>
      <c r="N31" s="42"/>
    </row>
    <row r="32" spans="1:14" ht="15" x14ac:dyDescent="0.2">
      <c r="A32" s="147">
        <v>31</v>
      </c>
      <c r="B32" s="146">
        <v>0</v>
      </c>
      <c r="C32" s="48"/>
      <c r="D32" s="146">
        <v>0</v>
      </c>
      <c r="E32" s="48"/>
      <c r="F32" s="146">
        <v>0</v>
      </c>
      <c r="G32" s="48"/>
      <c r="H32" s="146">
        <v>0</v>
      </c>
      <c r="I32" s="146">
        <v>0</v>
      </c>
      <c r="J32" s="48"/>
      <c r="K32" s="146">
        <v>0</v>
      </c>
      <c r="L32" s="48"/>
      <c r="M32" s="146">
        <v>0</v>
      </c>
      <c r="N32" s="45"/>
    </row>
    <row r="33" spans="1:14" ht="15" x14ac:dyDescent="0.2">
      <c r="A33" s="147"/>
      <c r="B33" s="146"/>
      <c r="C33" s="48"/>
      <c r="D33" s="146"/>
      <c r="E33" s="48"/>
      <c r="F33" s="146"/>
      <c r="G33" s="48"/>
      <c r="H33" s="146"/>
      <c r="I33" s="146"/>
      <c r="J33" s="48"/>
      <c r="K33" s="146"/>
      <c r="L33" s="48"/>
      <c r="M33" s="146"/>
      <c r="N33" s="45"/>
    </row>
    <row r="34" spans="1:14" ht="12.75" customHeight="1" x14ac:dyDescent="0.2">
      <c r="A34" s="47" t="s">
        <v>78</v>
      </c>
      <c r="B34" s="146">
        <v>10</v>
      </c>
      <c r="C34" s="146">
        <v>0</v>
      </c>
      <c r="D34" s="146">
        <v>6</v>
      </c>
      <c r="E34" s="146">
        <v>0</v>
      </c>
      <c r="F34" s="146">
        <v>0</v>
      </c>
      <c r="G34" s="146">
        <v>21</v>
      </c>
      <c r="H34" s="146">
        <v>107</v>
      </c>
      <c r="I34" s="146">
        <v>180</v>
      </c>
      <c r="J34" s="146">
        <v>14</v>
      </c>
      <c r="K34" s="146">
        <v>0</v>
      </c>
      <c r="L34" s="146">
        <v>0</v>
      </c>
      <c r="M34" s="146">
        <v>5</v>
      </c>
      <c r="N34" s="45"/>
    </row>
    <row r="35" spans="1:14" ht="12.75" customHeight="1" x14ac:dyDescent="0.2">
      <c r="A35" s="47" t="s">
        <v>128</v>
      </c>
      <c r="B35" s="147">
        <v>1</v>
      </c>
      <c r="C35" s="147">
        <v>0</v>
      </c>
      <c r="D35" s="147">
        <v>1</v>
      </c>
      <c r="E35" s="147">
        <v>0</v>
      </c>
      <c r="F35" s="147">
        <v>0</v>
      </c>
      <c r="G35" s="147">
        <v>3</v>
      </c>
      <c r="H35" s="147">
        <v>10</v>
      </c>
      <c r="I35" s="147">
        <v>9</v>
      </c>
      <c r="J35" s="147">
        <v>2</v>
      </c>
      <c r="K35" s="147">
        <v>0</v>
      </c>
      <c r="L35" s="147">
        <v>0</v>
      </c>
      <c r="M35" s="147">
        <v>1</v>
      </c>
      <c r="N35" s="45"/>
    </row>
    <row r="36" spans="1:14" ht="12.75" customHeight="1" x14ac:dyDescent="0.2">
      <c r="A36" s="47" t="s">
        <v>129</v>
      </c>
      <c r="B36" s="147">
        <v>31</v>
      </c>
      <c r="C36" s="147">
        <v>28</v>
      </c>
      <c r="D36" s="147">
        <v>31</v>
      </c>
      <c r="E36" s="147">
        <v>30</v>
      </c>
      <c r="F36" s="147">
        <v>31</v>
      </c>
      <c r="G36" s="147">
        <v>30</v>
      </c>
      <c r="H36" s="147">
        <v>31</v>
      </c>
      <c r="I36" s="147">
        <v>31</v>
      </c>
      <c r="J36" s="147">
        <v>30</v>
      </c>
      <c r="K36" s="147">
        <v>31</v>
      </c>
      <c r="L36" s="147">
        <v>30</v>
      </c>
      <c r="M36" s="147">
        <v>31</v>
      </c>
      <c r="N36" s="45"/>
    </row>
    <row r="37" spans="1:14" ht="12.75" customHeight="1" x14ac:dyDescent="0.2">
      <c r="A37" s="38" t="s">
        <v>49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718F-6E05-4264-90C9-9373CBA5A88D}">
  <dimension ref="A1:P37"/>
  <sheetViews>
    <sheetView workbookViewId="0">
      <selection activeCell="A34" sqref="A34:A36"/>
    </sheetView>
  </sheetViews>
  <sheetFormatPr defaultRowHeight="12.75" x14ac:dyDescent="0.2"/>
  <cols>
    <col min="1" max="1" width="26.83203125" customWidth="1"/>
  </cols>
  <sheetData>
    <row r="1" spans="1:16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  <c r="N1" s="45"/>
      <c r="O1" s="45"/>
      <c r="P1" s="45"/>
    </row>
    <row r="2" spans="1:16" ht="14.25" x14ac:dyDescent="0.2">
      <c r="A2" s="147">
        <v>1</v>
      </c>
      <c r="B2" s="146">
        <v>0</v>
      </c>
      <c r="C2" s="146">
        <v>0</v>
      </c>
      <c r="D2" s="146">
        <v>0</v>
      </c>
      <c r="E2" s="146">
        <v>0</v>
      </c>
      <c r="F2" s="146">
        <v>0</v>
      </c>
      <c r="G2" s="146">
        <v>0</v>
      </c>
      <c r="H2" s="146">
        <v>0</v>
      </c>
      <c r="I2" s="146">
        <v>20</v>
      </c>
      <c r="J2" s="146">
        <v>32</v>
      </c>
      <c r="K2" s="146">
        <v>0</v>
      </c>
      <c r="L2" s="146">
        <v>0</v>
      </c>
      <c r="M2" s="146">
        <v>0</v>
      </c>
      <c r="N2" s="42"/>
      <c r="O2" s="42"/>
      <c r="P2" s="42"/>
    </row>
    <row r="3" spans="1:16" ht="14.25" x14ac:dyDescent="0.2">
      <c r="A3" s="147">
        <v>2</v>
      </c>
      <c r="B3" s="146">
        <v>0</v>
      </c>
      <c r="C3" s="146">
        <v>0</v>
      </c>
      <c r="D3" s="146">
        <v>0</v>
      </c>
      <c r="E3" s="146">
        <v>0</v>
      </c>
      <c r="F3" s="146">
        <v>0</v>
      </c>
      <c r="G3" s="146">
        <v>0</v>
      </c>
      <c r="H3" s="146">
        <v>40</v>
      </c>
      <c r="I3" s="146">
        <v>32</v>
      </c>
      <c r="J3" s="146">
        <v>0</v>
      </c>
      <c r="K3" s="146">
        <v>0</v>
      </c>
      <c r="L3" s="146">
        <v>0</v>
      </c>
      <c r="M3" s="146">
        <v>0</v>
      </c>
      <c r="N3" s="42"/>
      <c r="O3" s="42"/>
      <c r="P3" s="42"/>
    </row>
    <row r="4" spans="1:16" ht="14.25" x14ac:dyDescent="0.2">
      <c r="A4" s="147">
        <v>3</v>
      </c>
      <c r="B4" s="146">
        <v>0</v>
      </c>
      <c r="C4" s="146">
        <v>0</v>
      </c>
      <c r="D4" s="146">
        <v>0</v>
      </c>
      <c r="E4" s="146">
        <v>0</v>
      </c>
      <c r="F4" s="146">
        <v>0</v>
      </c>
      <c r="G4" s="146">
        <v>0</v>
      </c>
      <c r="H4" s="146">
        <v>2</v>
      </c>
      <c r="I4" s="146">
        <v>50</v>
      </c>
      <c r="J4" s="146">
        <v>0</v>
      </c>
      <c r="K4" s="146">
        <v>0</v>
      </c>
      <c r="L4" s="146">
        <v>0</v>
      </c>
      <c r="M4" s="146">
        <v>0</v>
      </c>
      <c r="N4" s="42"/>
      <c r="O4" s="42"/>
      <c r="P4" s="42"/>
    </row>
    <row r="5" spans="1:16" ht="14.25" x14ac:dyDescent="0.2">
      <c r="A5" s="147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42"/>
      <c r="O5" s="42"/>
      <c r="P5" s="42"/>
    </row>
    <row r="6" spans="1:16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0</v>
      </c>
      <c r="I6" s="146">
        <v>8</v>
      </c>
      <c r="J6" s="146">
        <v>0</v>
      </c>
      <c r="K6" s="146">
        <v>35</v>
      </c>
      <c r="L6" s="146">
        <v>0</v>
      </c>
      <c r="M6" s="146">
        <v>0</v>
      </c>
      <c r="N6" s="42"/>
      <c r="O6" s="42"/>
      <c r="P6" s="42"/>
    </row>
    <row r="7" spans="1:16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0</v>
      </c>
      <c r="I7" s="146">
        <v>0</v>
      </c>
      <c r="J7" s="146">
        <v>0</v>
      </c>
      <c r="K7" s="146">
        <v>0</v>
      </c>
      <c r="L7" s="146">
        <v>0</v>
      </c>
      <c r="M7" s="146">
        <v>0</v>
      </c>
      <c r="N7" s="42"/>
      <c r="O7" s="42"/>
      <c r="P7" s="42"/>
    </row>
    <row r="8" spans="1:16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0</v>
      </c>
      <c r="K8" s="146">
        <v>0</v>
      </c>
      <c r="L8" s="146">
        <v>0</v>
      </c>
      <c r="M8" s="146">
        <v>0</v>
      </c>
      <c r="N8" s="42"/>
      <c r="O8" s="42"/>
      <c r="P8" s="42"/>
    </row>
    <row r="9" spans="1:16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0</v>
      </c>
      <c r="I9" s="148">
        <v>114</v>
      </c>
      <c r="J9" s="146">
        <v>0</v>
      </c>
      <c r="K9" s="146">
        <v>0</v>
      </c>
      <c r="L9" s="146">
        <v>0</v>
      </c>
      <c r="M9" s="146">
        <v>0</v>
      </c>
      <c r="N9" s="42"/>
      <c r="O9" s="42"/>
      <c r="P9" s="42"/>
    </row>
    <row r="10" spans="1:16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32</v>
      </c>
      <c r="I10" s="146">
        <v>0</v>
      </c>
      <c r="J10" s="146">
        <v>0</v>
      </c>
      <c r="K10" s="146">
        <v>0</v>
      </c>
      <c r="L10" s="146">
        <v>0</v>
      </c>
      <c r="M10" s="146">
        <v>0</v>
      </c>
      <c r="N10" s="42"/>
      <c r="O10" s="42"/>
      <c r="P10" s="42"/>
    </row>
    <row r="11" spans="1:16" ht="14.25" x14ac:dyDescent="0.2">
      <c r="A11" s="147">
        <v>10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2</v>
      </c>
      <c r="I11" s="146">
        <v>0</v>
      </c>
      <c r="J11" s="146">
        <v>0</v>
      </c>
      <c r="K11" s="146">
        <v>0</v>
      </c>
      <c r="L11" s="146">
        <v>0</v>
      </c>
      <c r="M11" s="146">
        <v>0</v>
      </c>
      <c r="N11" s="42"/>
      <c r="O11" s="42"/>
      <c r="P11" s="42"/>
    </row>
    <row r="12" spans="1:16" ht="14.2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2</v>
      </c>
      <c r="G12" s="146">
        <v>0</v>
      </c>
      <c r="H12" s="146">
        <v>0</v>
      </c>
      <c r="I12" s="146">
        <v>8</v>
      </c>
      <c r="J12" s="146">
        <v>0</v>
      </c>
      <c r="K12" s="146">
        <v>0</v>
      </c>
      <c r="L12" s="146">
        <v>0</v>
      </c>
      <c r="M12" s="146">
        <v>0</v>
      </c>
      <c r="N12" s="42"/>
      <c r="O12" s="42"/>
      <c r="P12" s="42"/>
    </row>
    <row r="13" spans="1:16" ht="14.25" x14ac:dyDescent="0.2">
      <c r="A13" s="147">
        <v>12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13</v>
      </c>
      <c r="H13" s="146">
        <v>0</v>
      </c>
      <c r="I13" s="146">
        <v>38</v>
      </c>
      <c r="J13" s="146">
        <v>0</v>
      </c>
      <c r="K13" s="146">
        <v>0</v>
      </c>
      <c r="L13" s="146">
        <v>0</v>
      </c>
      <c r="M13" s="146">
        <v>0</v>
      </c>
      <c r="N13" s="42"/>
      <c r="O13" s="42"/>
      <c r="P13" s="42"/>
    </row>
    <row r="14" spans="1:16" ht="14.2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2</v>
      </c>
      <c r="H14" s="146">
        <v>2</v>
      </c>
      <c r="I14" s="146">
        <v>13</v>
      </c>
      <c r="J14" s="146">
        <v>0</v>
      </c>
      <c r="K14" s="146">
        <v>0</v>
      </c>
      <c r="L14" s="146">
        <v>0</v>
      </c>
      <c r="M14" s="146">
        <v>0</v>
      </c>
      <c r="N14" s="42"/>
      <c r="O14" s="42"/>
      <c r="P14" s="42"/>
    </row>
    <row r="15" spans="1:16" ht="14.25" x14ac:dyDescent="0.2">
      <c r="A15" s="147">
        <v>14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33</v>
      </c>
      <c r="I15" s="146">
        <v>15</v>
      </c>
      <c r="J15" s="146">
        <v>0</v>
      </c>
      <c r="K15" s="146">
        <v>0</v>
      </c>
      <c r="L15" s="146">
        <v>0</v>
      </c>
      <c r="M15" s="146">
        <v>0</v>
      </c>
      <c r="N15" s="42"/>
      <c r="O15" s="42"/>
      <c r="P15" s="42"/>
    </row>
    <row r="16" spans="1:16" ht="14.25" x14ac:dyDescent="0.2">
      <c r="A16" s="147">
        <v>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42"/>
      <c r="O16" s="42"/>
      <c r="P16" s="42"/>
    </row>
    <row r="17" spans="1:16" ht="14.25" x14ac:dyDescent="0.2">
      <c r="A17" s="147">
        <v>16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35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42"/>
      <c r="O17" s="42"/>
      <c r="P17" s="42"/>
    </row>
    <row r="18" spans="1:16" ht="14.25" x14ac:dyDescent="0.2">
      <c r="A18" s="147">
        <v>17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47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  <c r="N18" s="42"/>
      <c r="O18" s="42"/>
      <c r="P18" s="42"/>
    </row>
    <row r="19" spans="1:16" ht="14.25" x14ac:dyDescent="0.2">
      <c r="A19" s="147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0</v>
      </c>
      <c r="I19" s="146">
        <v>0</v>
      </c>
      <c r="J19" s="146">
        <v>0</v>
      </c>
      <c r="K19" s="146">
        <v>0</v>
      </c>
      <c r="L19" s="146">
        <v>0</v>
      </c>
      <c r="M19" s="146">
        <v>0</v>
      </c>
      <c r="N19" s="42"/>
      <c r="O19" s="42"/>
      <c r="P19" s="42"/>
    </row>
    <row r="20" spans="1:16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7</v>
      </c>
      <c r="J20" s="146">
        <v>0</v>
      </c>
      <c r="K20" s="146">
        <v>0</v>
      </c>
      <c r="L20" s="146">
        <v>0</v>
      </c>
      <c r="M20" s="146">
        <v>0</v>
      </c>
      <c r="N20" s="42"/>
      <c r="O20" s="42"/>
      <c r="P20" s="42"/>
    </row>
    <row r="21" spans="1:16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0</v>
      </c>
      <c r="I21" s="146">
        <v>10</v>
      </c>
      <c r="J21" s="146">
        <v>0</v>
      </c>
      <c r="K21" s="146">
        <v>0</v>
      </c>
      <c r="L21" s="146">
        <v>0</v>
      </c>
      <c r="M21" s="146">
        <v>0</v>
      </c>
      <c r="N21" s="42"/>
      <c r="O21" s="42"/>
      <c r="P21" s="42"/>
    </row>
    <row r="22" spans="1:16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0</v>
      </c>
      <c r="I22" s="146">
        <v>2</v>
      </c>
      <c r="J22" s="146">
        <v>0</v>
      </c>
      <c r="K22" s="146">
        <v>0</v>
      </c>
      <c r="L22" s="146">
        <v>0</v>
      </c>
      <c r="M22" s="146">
        <v>0</v>
      </c>
      <c r="N22" s="42"/>
      <c r="O22" s="42"/>
      <c r="P22" s="42"/>
    </row>
    <row r="23" spans="1:16" ht="14.25" x14ac:dyDescent="0.2">
      <c r="A23" s="147">
        <v>22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0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  <c r="N23" s="42"/>
      <c r="O23" s="42"/>
      <c r="P23" s="42"/>
    </row>
    <row r="24" spans="1:16" ht="14.25" x14ac:dyDescent="0.2">
      <c r="A24" s="147">
        <v>23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  <c r="I24" s="146">
        <v>7</v>
      </c>
      <c r="J24" s="146">
        <v>0</v>
      </c>
      <c r="K24" s="146">
        <v>0</v>
      </c>
      <c r="L24" s="146">
        <v>0</v>
      </c>
      <c r="M24" s="146">
        <v>0</v>
      </c>
      <c r="N24" s="42"/>
      <c r="O24" s="42"/>
      <c r="P24" s="42"/>
    </row>
    <row r="25" spans="1:16" ht="14.25" x14ac:dyDescent="0.2">
      <c r="A25" s="147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0</v>
      </c>
      <c r="I25" s="146">
        <v>2</v>
      </c>
      <c r="J25" s="146">
        <v>0</v>
      </c>
      <c r="K25" s="146">
        <v>0</v>
      </c>
      <c r="L25" s="146">
        <v>0</v>
      </c>
      <c r="M25" s="146">
        <v>0</v>
      </c>
      <c r="N25" s="42"/>
      <c r="O25" s="42"/>
      <c r="P25" s="42"/>
    </row>
    <row r="26" spans="1:16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0</v>
      </c>
      <c r="H26" s="146">
        <v>0</v>
      </c>
      <c r="I26" s="146">
        <v>0</v>
      </c>
      <c r="J26" s="146">
        <v>0</v>
      </c>
      <c r="K26" s="146">
        <v>0</v>
      </c>
      <c r="L26" s="146">
        <v>0</v>
      </c>
      <c r="M26" s="146">
        <v>0</v>
      </c>
      <c r="N26" s="42"/>
      <c r="O26" s="42"/>
      <c r="P26" s="42"/>
    </row>
    <row r="27" spans="1:16" ht="14.25" x14ac:dyDescent="0.2">
      <c r="A27" s="147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31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42"/>
      <c r="O27" s="42"/>
      <c r="P27" s="42"/>
    </row>
    <row r="28" spans="1:16" ht="14.25" x14ac:dyDescent="0.2">
      <c r="A28" s="147">
        <v>27</v>
      </c>
      <c r="B28" s="146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0</v>
      </c>
      <c r="I28" s="146">
        <v>0</v>
      </c>
      <c r="J28" s="146">
        <v>0</v>
      </c>
      <c r="K28" s="146">
        <v>0</v>
      </c>
      <c r="L28" s="146">
        <v>0</v>
      </c>
      <c r="M28" s="146">
        <v>0</v>
      </c>
      <c r="N28" s="42"/>
      <c r="O28" s="42"/>
      <c r="P28" s="42"/>
    </row>
    <row r="29" spans="1:16" ht="14.25" x14ac:dyDescent="0.2">
      <c r="A29" s="147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4</v>
      </c>
      <c r="H29" s="146">
        <v>18</v>
      </c>
      <c r="I29" s="146">
        <v>10</v>
      </c>
      <c r="J29" s="146">
        <v>0</v>
      </c>
      <c r="K29" s="146">
        <v>0</v>
      </c>
      <c r="L29" s="146">
        <v>0</v>
      </c>
      <c r="M29" s="146">
        <v>0</v>
      </c>
      <c r="N29" s="42"/>
      <c r="O29" s="42"/>
      <c r="P29" s="42"/>
    </row>
    <row r="30" spans="1:16" ht="14.25" x14ac:dyDescent="0.2">
      <c r="A30" s="147">
        <v>29</v>
      </c>
      <c r="B30" s="146">
        <v>0</v>
      </c>
      <c r="C30" s="146">
        <v>0</v>
      </c>
      <c r="D30" s="146">
        <v>0</v>
      </c>
      <c r="E30" s="146">
        <v>0</v>
      </c>
      <c r="F30" s="146">
        <v>0</v>
      </c>
      <c r="G30" s="146">
        <v>0</v>
      </c>
      <c r="H30" s="146">
        <v>50</v>
      </c>
      <c r="I30" s="146">
        <v>0</v>
      </c>
      <c r="J30" s="146">
        <v>0</v>
      </c>
      <c r="K30" s="146">
        <v>0</v>
      </c>
      <c r="L30" s="146">
        <v>0</v>
      </c>
      <c r="M30" s="146">
        <v>0</v>
      </c>
      <c r="N30" s="42"/>
      <c r="O30" s="42"/>
      <c r="P30" s="42"/>
    </row>
    <row r="31" spans="1:16" ht="15" x14ac:dyDescent="0.2">
      <c r="A31" s="147">
        <v>30</v>
      </c>
      <c r="B31" s="146">
        <v>0</v>
      </c>
      <c r="C31" s="48"/>
      <c r="D31" s="146">
        <v>0</v>
      </c>
      <c r="E31" s="146">
        <v>0</v>
      </c>
      <c r="F31" s="146">
        <v>0</v>
      </c>
      <c r="G31" s="146">
        <v>0</v>
      </c>
      <c r="H31" s="146">
        <v>40</v>
      </c>
      <c r="I31" s="146">
        <v>5</v>
      </c>
      <c r="J31" s="146">
        <v>0</v>
      </c>
      <c r="K31" s="146">
        <v>0</v>
      </c>
      <c r="L31" s="146">
        <v>0</v>
      </c>
      <c r="M31" s="146">
        <v>0</v>
      </c>
      <c r="N31" s="42"/>
      <c r="O31" s="42"/>
      <c r="P31" s="42"/>
    </row>
    <row r="32" spans="1:16" ht="15" x14ac:dyDescent="0.2">
      <c r="A32" s="147">
        <v>31</v>
      </c>
      <c r="B32" s="146">
        <v>0</v>
      </c>
      <c r="C32" s="48"/>
      <c r="D32" s="146">
        <v>0</v>
      </c>
      <c r="E32" s="48"/>
      <c r="F32" s="146">
        <v>0</v>
      </c>
      <c r="G32" s="48"/>
      <c r="H32" s="146">
        <v>43</v>
      </c>
      <c r="I32" s="146">
        <v>30</v>
      </c>
      <c r="J32" s="48"/>
      <c r="K32" s="146">
        <v>0</v>
      </c>
      <c r="L32" s="48"/>
      <c r="M32" s="146">
        <v>0</v>
      </c>
      <c r="N32" s="45"/>
      <c r="O32" s="45"/>
      <c r="P32" s="45"/>
    </row>
    <row r="33" spans="1:16" ht="15" x14ac:dyDescent="0.2">
      <c r="A33" s="147"/>
      <c r="B33" s="146"/>
      <c r="C33" s="48"/>
      <c r="D33" s="146"/>
      <c r="E33" s="48"/>
      <c r="F33" s="146"/>
      <c r="G33" s="48"/>
      <c r="H33" s="146"/>
      <c r="I33" s="146"/>
      <c r="J33" s="48"/>
      <c r="K33" s="146"/>
      <c r="L33" s="48"/>
      <c r="M33" s="146"/>
      <c r="N33" s="45"/>
      <c r="O33" s="45"/>
      <c r="P33" s="45"/>
    </row>
    <row r="34" spans="1:16" ht="12.75" customHeight="1" x14ac:dyDescent="0.2">
      <c r="A34" s="47" t="s">
        <v>78</v>
      </c>
      <c r="B34" s="146">
        <v>0</v>
      </c>
      <c r="C34" s="146">
        <v>0</v>
      </c>
      <c r="D34" s="146">
        <v>0</v>
      </c>
      <c r="E34" s="146">
        <v>0</v>
      </c>
      <c r="F34" s="146">
        <v>2</v>
      </c>
      <c r="G34" s="146">
        <v>19</v>
      </c>
      <c r="H34" s="146">
        <v>375</v>
      </c>
      <c r="I34" s="146">
        <v>371</v>
      </c>
      <c r="J34" s="146">
        <v>32</v>
      </c>
      <c r="K34" s="146">
        <v>35</v>
      </c>
      <c r="L34" s="146">
        <v>0</v>
      </c>
      <c r="M34" s="146">
        <v>0</v>
      </c>
      <c r="N34" s="45"/>
      <c r="O34" s="45"/>
      <c r="P34" s="45"/>
    </row>
    <row r="35" spans="1:16" ht="12.75" customHeight="1" x14ac:dyDescent="0.2">
      <c r="A35" s="47" t="s">
        <v>128</v>
      </c>
      <c r="B35" s="147">
        <v>0</v>
      </c>
      <c r="C35" s="147">
        <v>0</v>
      </c>
      <c r="D35" s="147">
        <v>0</v>
      </c>
      <c r="E35" s="147">
        <v>0</v>
      </c>
      <c r="F35" s="147">
        <v>0</v>
      </c>
      <c r="G35" s="147">
        <v>2</v>
      </c>
      <c r="H35" s="147">
        <v>10</v>
      </c>
      <c r="I35" s="147">
        <v>15</v>
      </c>
      <c r="J35" s="147">
        <v>1</v>
      </c>
      <c r="K35" s="147">
        <v>1</v>
      </c>
      <c r="L35" s="147">
        <v>0</v>
      </c>
      <c r="M35" s="147">
        <v>0</v>
      </c>
      <c r="N35" s="45"/>
      <c r="O35" s="45"/>
      <c r="P35" s="45"/>
    </row>
    <row r="36" spans="1:16" ht="12.75" customHeight="1" x14ac:dyDescent="0.2">
      <c r="A36" s="47" t="s">
        <v>129</v>
      </c>
      <c r="B36" s="147">
        <v>31</v>
      </c>
      <c r="C36" s="147">
        <v>29</v>
      </c>
      <c r="D36" s="147">
        <v>31</v>
      </c>
      <c r="E36" s="147">
        <v>30</v>
      </c>
      <c r="F36" s="147">
        <v>31</v>
      </c>
      <c r="G36" s="147">
        <v>30</v>
      </c>
      <c r="H36" s="147">
        <v>31</v>
      </c>
      <c r="I36" s="147">
        <v>31</v>
      </c>
      <c r="J36" s="147">
        <v>30</v>
      </c>
      <c r="K36" s="147">
        <v>31</v>
      </c>
      <c r="L36" s="147">
        <v>30</v>
      </c>
      <c r="M36" s="147">
        <v>31</v>
      </c>
      <c r="N36" s="4"/>
      <c r="O36" s="4"/>
      <c r="P36" s="4"/>
    </row>
    <row r="37" spans="1:16" ht="12.75" customHeight="1" x14ac:dyDescent="0.2">
      <c r="A37" s="38" t="s">
        <v>48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D0D5-FA49-443C-B7ED-38562850722D}">
  <dimension ref="A1:T37"/>
  <sheetViews>
    <sheetView topLeftCell="A6" workbookViewId="0">
      <selection activeCell="A42" sqref="A42"/>
    </sheetView>
  </sheetViews>
  <sheetFormatPr defaultRowHeight="12.75" x14ac:dyDescent="0.2"/>
  <cols>
    <col min="1" max="1" width="32.33203125" customWidth="1"/>
  </cols>
  <sheetData>
    <row r="1" spans="1:20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  <c r="N1" s="45"/>
      <c r="O1" s="45"/>
      <c r="P1" s="45"/>
      <c r="Q1" s="45"/>
      <c r="R1" s="45"/>
      <c r="S1" s="45"/>
      <c r="T1" s="45"/>
    </row>
    <row r="2" spans="1:20" ht="14.25" x14ac:dyDescent="0.2">
      <c r="A2" s="147">
        <v>1</v>
      </c>
      <c r="B2" s="146">
        <v>0</v>
      </c>
      <c r="C2" s="146">
        <v>0</v>
      </c>
      <c r="D2" s="146">
        <v>2</v>
      </c>
      <c r="E2" s="146">
        <v>0</v>
      </c>
      <c r="F2" s="146">
        <v>0</v>
      </c>
      <c r="G2" s="146">
        <v>0</v>
      </c>
      <c r="H2" s="146">
        <v>0</v>
      </c>
      <c r="I2" s="146">
        <v>0</v>
      </c>
      <c r="J2" s="146">
        <v>0</v>
      </c>
      <c r="K2" s="146">
        <v>0</v>
      </c>
      <c r="L2" s="146">
        <v>0</v>
      </c>
      <c r="M2" s="146">
        <v>0</v>
      </c>
      <c r="N2" s="42"/>
      <c r="O2" s="42"/>
      <c r="P2" s="42"/>
      <c r="Q2" s="42"/>
      <c r="R2" s="42"/>
      <c r="S2" s="42"/>
      <c r="T2" s="42"/>
    </row>
    <row r="3" spans="1:20" ht="14.25" x14ac:dyDescent="0.2">
      <c r="A3" s="147">
        <v>2</v>
      </c>
      <c r="B3" s="146">
        <v>0</v>
      </c>
      <c r="C3" s="146">
        <v>0</v>
      </c>
      <c r="D3" s="146">
        <v>37</v>
      </c>
      <c r="E3" s="146">
        <v>0</v>
      </c>
      <c r="F3" s="146">
        <v>0</v>
      </c>
      <c r="G3" s="146">
        <v>0</v>
      </c>
      <c r="H3" s="146">
        <v>0</v>
      </c>
      <c r="I3" s="146">
        <v>0</v>
      </c>
      <c r="J3" s="146">
        <v>0</v>
      </c>
      <c r="K3" s="146">
        <v>0</v>
      </c>
      <c r="L3" s="146">
        <v>0</v>
      </c>
      <c r="M3" s="146">
        <v>0</v>
      </c>
      <c r="N3" s="42"/>
      <c r="O3" s="42"/>
      <c r="P3" s="42"/>
      <c r="Q3" s="42"/>
      <c r="R3" s="42"/>
      <c r="S3" s="42"/>
      <c r="T3" s="42"/>
    </row>
    <row r="4" spans="1:20" ht="14.25" x14ac:dyDescent="0.2">
      <c r="A4" s="147">
        <v>3</v>
      </c>
      <c r="B4" s="146">
        <v>0</v>
      </c>
      <c r="C4" s="146">
        <v>0</v>
      </c>
      <c r="D4" s="146">
        <v>2</v>
      </c>
      <c r="E4" s="146">
        <v>0</v>
      </c>
      <c r="F4" s="146">
        <v>0</v>
      </c>
      <c r="G4" s="146">
        <v>0</v>
      </c>
      <c r="H4" s="146">
        <v>5</v>
      </c>
      <c r="I4" s="146">
        <v>0</v>
      </c>
      <c r="J4" s="146">
        <v>0</v>
      </c>
      <c r="K4" s="146">
        <v>0</v>
      </c>
      <c r="L4" s="146">
        <v>0</v>
      </c>
      <c r="M4" s="146">
        <v>0</v>
      </c>
      <c r="N4" s="42"/>
      <c r="O4" s="42"/>
      <c r="P4" s="42"/>
      <c r="Q4" s="42"/>
      <c r="R4" s="42"/>
      <c r="S4" s="42"/>
      <c r="T4" s="42"/>
    </row>
    <row r="5" spans="1:20" ht="14.25" x14ac:dyDescent="0.2">
      <c r="A5" s="147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42"/>
      <c r="O5" s="42"/>
      <c r="P5" s="42"/>
      <c r="Q5" s="42"/>
      <c r="R5" s="42"/>
      <c r="S5" s="42"/>
      <c r="T5" s="42"/>
    </row>
    <row r="6" spans="1:20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0</v>
      </c>
      <c r="I6" s="146">
        <v>10</v>
      </c>
      <c r="J6" s="146">
        <v>0</v>
      </c>
      <c r="K6" s="146">
        <v>0</v>
      </c>
      <c r="L6" s="146">
        <v>0</v>
      </c>
      <c r="M6" s="146">
        <v>0</v>
      </c>
      <c r="N6" s="42"/>
      <c r="O6" s="42"/>
      <c r="P6" s="42"/>
      <c r="Q6" s="42"/>
      <c r="R6" s="42"/>
      <c r="S6" s="42"/>
      <c r="T6" s="42"/>
    </row>
    <row r="7" spans="1:20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0</v>
      </c>
      <c r="I7" s="146">
        <v>45</v>
      </c>
      <c r="J7" s="146">
        <v>0</v>
      </c>
      <c r="K7" s="146">
        <v>0</v>
      </c>
      <c r="L7" s="146">
        <v>0</v>
      </c>
      <c r="M7" s="146">
        <v>0</v>
      </c>
      <c r="N7" s="42"/>
      <c r="O7" s="42"/>
      <c r="P7" s="42"/>
      <c r="Q7" s="42"/>
      <c r="R7" s="42"/>
      <c r="S7" s="42"/>
      <c r="T7" s="42"/>
    </row>
    <row r="8" spans="1:20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0</v>
      </c>
      <c r="K8" s="146">
        <v>0</v>
      </c>
      <c r="L8" s="146">
        <v>0</v>
      </c>
      <c r="M8" s="146">
        <v>0</v>
      </c>
      <c r="N8" s="42"/>
      <c r="O8" s="42"/>
      <c r="P8" s="42"/>
      <c r="Q8" s="42"/>
      <c r="R8" s="42"/>
      <c r="S8" s="42"/>
      <c r="T8" s="42"/>
    </row>
    <row r="9" spans="1:20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0</v>
      </c>
      <c r="I9" s="146">
        <v>0</v>
      </c>
      <c r="J9" s="146">
        <v>0</v>
      </c>
      <c r="K9" s="146">
        <v>0</v>
      </c>
      <c r="L9" s="146">
        <v>0</v>
      </c>
      <c r="M9" s="146">
        <v>0</v>
      </c>
      <c r="N9" s="42"/>
      <c r="O9" s="42"/>
      <c r="P9" s="42"/>
      <c r="Q9" s="42"/>
      <c r="R9" s="42"/>
      <c r="S9" s="42"/>
      <c r="T9" s="42"/>
    </row>
    <row r="10" spans="1:20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38</v>
      </c>
      <c r="I10" s="146">
        <v>0</v>
      </c>
      <c r="J10" s="146">
        <v>0</v>
      </c>
      <c r="K10" s="146">
        <v>0</v>
      </c>
      <c r="L10" s="146">
        <v>0</v>
      </c>
      <c r="M10" s="146">
        <v>0</v>
      </c>
      <c r="N10" s="42"/>
      <c r="O10" s="42"/>
      <c r="P10" s="42"/>
      <c r="Q10" s="42"/>
      <c r="R10" s="42"/>
      <c r="S10" s="42"/>
      <c r="T10" s="42"/>
    </row>
    <row r="11" spans="1:20" ht="14.25" x14ac:dyDescent="0.2">
      <c r="A11" s="147">
        <v>10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3</v>
      </c>
      <c r="I11" s="146">
        <v>47</v>
      </c>
      <c r="J11" s="146">
        <v>0</v>
      </c>
      <c r="K11" s="146">
        <v>0</v>
      </c>
      <c r="L11" s="146">
        <v>0</v>
      </c>
      <c r="M11" s="146">
        <v>0</v>
      </c>
      <c r="N11" s="42"/>
      <c r="O11" s="42"/>
      <c r="P11" s="42"/>
      <c r="Q11" s="42"/>
      <c r="R11" s="42"/>
      <c r="S11" s="42"/>
      <c r="T11" s="42"/>
    </row>
    <row r="12" spans="1:20" ht="14.2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10</v>
      </c>
      <c r="I12" s="146">
        <v>6</v>
      </c>
      <c r="J12" s="146">
        <v>0</v>
      </c>
      <c r="K12" s="146">
        <v>0</v>
      </c>
      <c r="L12" s="146">
        <v>0</v>
      </c>
      <c r="M12" s="146">
        <v>0</v>
      </c>
      <c r="N12" s="42"/>
      <c r="O12" s="42"/>
      <c r="P12" s="42"/>
      <c r="Q12" s="42"/>
      <c r="R12" s="42"/>
      <c r="S12" s="42"/>
      <c r="T12" s="42"/>
    </row>
    <row r="13" spans="1:20" ht="14.25" x14ac:dyDescent="0.2">
      <c r="A13" s="147">
        <v>12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  <c r="I13" s="146">
        <v>0</v>
      </c>
      <c r="J13" s="146">
        <v>0</v>
      </c>
      <c r="K13" s="146">
        <v>0</v>
      </c>
      <c r="L13" s="146">
        <v>0</v>
      </c>
      <c r="M13" s="146">
        <v>0</v>
      </c>
      <c r="N13" s="42"/>
      <c r="O13" s="42"/>
      <c r="P13" s="42"/>
      <c r="Q13" s="42"/>
      <c r="R13" s="42"/>
      <c r="S13" s="42"/>
      <c r="T13" s="42"/>
    </row>
    <row r="14" spans="1:20" ht="14.2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0</v>
      </c>
      <c r="H14" s="146">
        <v>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42"/>
      <c r="O14" s="42"/>
      <c r="P14" s="42"/>
      <c r="Q14" s="42"/>
      <c r="R14" s="42"/>
      <c r="S14" s="42"/>
      <c r="T14" s="42"/>
    </row>
    <row r="15" spans="1:20" ht="14.25" x14ac:dyDescent="0.2">
      <c r="A15" s="147">
        <v>14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27</v>
      </c>
      <c r="H15" s="146">
        <v>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42"/>
      <c r="O15" s="42"/>
      <c r="P15" s="42"/>
      <c r="Q15" s="42"/>
      <c r="R15" s="42"/>
      <c r="S15" s="42"/>
      <c r="T15" s="42"/>
    </row>
    <row r="16" spans="1:20" ht="14.25" x14ac:dyDescent="0.2">
      <c r="A16" s="147">
        <v>15</v>
      </c>
      <c r="B16" s="146">
        <v>0</v>
      </c>
      <c r="C16" s="146">
        <v>0</v>
      </c>
      <c r="D16" s="148">
        <v>75</v>
      </c>
      <c r="E16" s="146">
        <v>0</v>
      </c>
      <c r="F16" s="146">
        <v>0</v>
      </c>
      <c r="G16" s="146">
        <v>0</v>
      </c>
      <c r="H16" s="146">
        <v>5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42"/>
      <c r="O16" s="42"/>
      <c r="P16" s="42"/>
      <c r="Q16" s="42"/>
      <c r="R16" s="42"/>
      <c r="S16" s="42"/>
      <c r="T16" s="42"/>
    </row>
    <row r="17" spans="1:20" ht="14.25" x14ac:dyDescent="0.2">
      <c r="A17" s="147">
        <v>16</v>
      </c>
      <c r="B17" s="146">
        <v>0</v>
      </c>
      <c r="C17" s="146">
        <v>0</v>
      </c>
      <c r="D17" s="146">
        <v>10</v>
      </c>
      <c r="E17" s="146">
        <v>0</v>
      </c>
      <c r="F17" s="146">
        <v>0</v>
      </c>
      <c r="G17" s="146">
        <v>7</v>
      </c>
      <c r="H17" s="146">
        <v>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42"/>
      <c r="O17" s="42"/>
      <c r="P17" s="42"/>
      <c r="Q17" s="42"/>
      <c r="R17" s="42"/>
      <c r="S17" s="42"/>
      <c r="T17" s="42"/>
    </row>
    <row r="18" spans="1:20" ht="14.25" x14ac:dyDescent="0.2">
      <c r="A18" s="147">
        <v>17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0</v>
      </c>
      <c r="H18" s="146">
        <v>0</v>
      </c>
      <c r="I18" s="146">
        <v>60</v>
      </c>
      <c r="J18" s="146">
        <v>0</v>
      </c>
      <c r="K18" s="146">
        <v>0</v>
      </c>
      <c r="L18" s="146">
        <v>0</v>
      </c>
      <c r="M18" s="146">
        <v>0</v>
      </c>
      <c r="N18" s="42"/>
      <c r="O18" s="42"/>
      <c r="P18" s="42"/>
      <c r="Q18" s="42"/>
      <c r="R18" s="42"/>
      <c r="S18" s="42"/>
      <c r="T18" s="42"/>
    </row>
    <row r="19" spans="1:20" ht="14.25" x14ac:dyDescent="0.2">
      <c r="A19" s="147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46">
        <v>18</v>
      </c>
      <c r="I19" s="146">
        <v>66</v>
      </c>
      <c r="J19" s="146">
        <v>0</v>
      </c>
      <c r="K19" s="146">
        <v>0</v>
      </c>
      <c r="L19" s="146">
        <v>0</v>
      </c>
      <c r="M19" s="146">
        <v>0</v>
      </c>
      <c r="N19" s="42"/>
      <c r="O19" s="42"/>
      <c r="P19" s="42"/>
      <c r="Q19" s="42"/>
      <c r="R19" s="42"/>
      <c r="S19" s="42"/>
      <c r="T19" s="42"/>
    </row>
    <row r="20" spans="1:20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42"/>
      <c r="O20" s="42"/>
      <c r="P20" s="42"/>
      <c r="Q20" s="42"/>
      <c r="R20" s="42"/>
      <c r="S20" s="42"/>
      <c r="T20" s="42"/>
    </row>
    <row r="21" spans="1:20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0</v>
      </c>
      <c r="I21" s="146">
        <v>0</v>
      </c>
      <c r="J21" s="146">
        <v>0</v>
      </c>
      <c r="K21" s="146">
        <v>0</v>
      </c>
      <c r="L21" s="146">
        <v>0</v>
      </c>
      <c r="M21" s="146">
        <v>0</v>
      </c>
      <c r="N21" s="42"/>
      <c r="O21" s="42"/>
      <c r="P21" s="42"/>
      <c r="Q21" s="42"/>
      <c r="R21" s="42"/>
      <c r="S21" s="42"/>
      <c r="T21" s="42"/>
    </row>
    <row r="22" spans="1:20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37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  <c r="N22" s="42"/>
      <c r="O22" s="42"/>
      <c r="P22" s="42"/>
      <c r="Q22" s="42"/>
      <c r="R22" s="42"/>
      <c r="S22" s="42"/>
      <c r="T22" s="42"/>
    </row>
    <row r="23" spans="1:20" ht="14.25" x14ac:dyDescent="0.2">
      <c r="A23" s="147">
        <v>22</v>
      </c>
      <c r="B23" s="146">
        <v>18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3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  <c r="N23" s="42"/>
      <c r="O23" s="42"/>
      <c r="P23" s="42"/>
      <c r="Q23" s="42"/>
      <c r="R23" s="42"/>
      <c r="S23" s="42"/>
      <c r="T23" s="42"/>
    </row>
    <row r="24" spans="1:20" ht="14.25" x14ac:dyDescent="0.2">
      <c r="A24" s="147">
        <v>23</v>
      </c>
      <c r="B24" s="146">
        <v>8</v>
      </c>
      <c r="C24" s="146">
        <v>0</v>
      </c>
      <c r="D24" s="146">
        <v>0</v>
      </c>
      <c r="E24" s="146">
        <v>0</v>
      </c>
      <c r="F24" s="146">
        <v>0</v>
      </c>
      <c r="G24" s="146">
        <v>17</v>
      </c>
      <c r="H24" s="146">
        <v>0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42"/>
      <c r="O24" s="42"/>
      <c r="P24" s="42"/>
      <c r="Q24" s="42"/>
      <c r="R24" s="42"/>
      <c r="S24" s="42"/>
      <c r="T24" s="42"/>
    </row>
    <row r="25" spans="1:20" ht="14.25" x14ac:dyDescent="0.2">
      <c r="A25" s="147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0</v>
      </c>
      <c r="I25" s="146">
        <v>0</v>
      </c>
      <c r="J25" s="146">
        <v>0</v>
      </c>
      <c r="K25" s="146">
        <v>0</v>
      </c>
      <c r="L25" s="146">
        <v>0</v>
      </c>
      <c r="M25" s="146">
        <v>0</v>
      </c>
      <c r="N25" s="42"/>
      <c r="O25" s="42"/>
      <c r="P25" s="42"/>
      <c r="Q25" s="42"/>
      <c r="R25" s="42"/>
      <c r="S25" s="42"/>
      <c r="T25" s="42"/>
    </row>
    <row r="26" spans="1:20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25</v>
      </c>
      <c r="H26" s="146">
        <v>7</v>
      </c>
      <c r="I26" s="146">
        <v>0</v>
      </c>
      <c r="J26" s="146">
        <v>0</v>
      </c>
      <c r="K26" s="146">
        <v>0</v>
      </c>
      <c r="L26" s="146">
        <v>0</v>
      </c>
      <c r="M26" s="146">
        <v>0</v>
      </c>
      <c r="N26" s="42"/>
      <c r="O26" s="42"/>
      <c r="P26" s="42"/>
      <c r="Q26" s="42"/>
      <c r="R26" s="42"/>
      <c r="S26" s="42"/>
      <c r="T26" s="42"/>
    </row>
    <row r="27" spans="1:20" ht="14.25" x14ac:dyDescent="0.2">
      <c r="A27" s="147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42"/>
      <c r="O27" s="42"/>
      <c r="P27" s="42"/>
      <c r="Q27" s="42"/>
      <c r="R27" s="42"/>
      <c r="S27" s="42"/>
      <c r="T27" s="42"/>
    </row>
    <row r="28" spans="1:20" ht="14.25" x14ac:dyDescent="0.2">
      <c r="A28" s="147">
        <v>27</v>
      </c>
      <c r="B28" s="146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0</v>
      </c>
      <c r="H28" s="146">
        <v>10</v>
      </c>
      <c r="I28" s="146">
        <v>0</v>
      </c>
      <c r="J28" s="146">
        <v>0</v>
      </c>
      <c r="K28" s="146">
        <v>0</v>
      </c>
      <c r="L28" s="146">
        <v>0</v>
      </c>
      <c r="M28" s="146">
        <v>0</v>
      </c>
      <c r="N28" s="42"/>
      <c r="O28" s="42"/>
      <c r="P28" s="42"/>
      <c r="Q28" s="42"/>
      <c r="R28" s="42"/>
      <c r="S28" s="42"/>
      <c r="T28" s="42"/>
    </row>
    <row r="29" spans="1:20" ht="14.25" x14ac:dyDescent="0.2">
      <c r="A29" s="147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46">
        <v>0</v>
      </c>
      <c r="H29" s="146">
        <v>15</v>
      </c>
      <c r="I29" s="146">
        <v>0</v>
      </c>
      <c r="J29" s="146">
        <v>0</v>
      </c>
      <c r="K29" s="146">
        <v>0</v>
      </c>
      <c r="L29" s="146">
        <v>0</v>
      </c>
      <c r="M29" s="146">
        <v>0</v>
      </c>
      <c r="N29" s="42"/>
      <c r="O29" s="42"/>
      <c r="P29" s="42"/>
      <c r="Q29" s="42"/>
      <c r="R29" s="42"/>
      <c r="S29" s="42"/>
      <c r="T29" s="42"/>
    </row>
    <row r="30" spans="1:20" ht="15" x14ac:dyDescent="0.2">
      <c r="A30" s="147">
        <v>29</v>
      </c>
      <c r="B30" s="146">
        <v>0</v>
      </c>
      <c r="C30" s="48"/>
      <c r="D30" s="146">
        <v>0</v>
      </c>
      <c r="E30" s="146">
        <v>0</v>
      </c>
      <c r="F30" s="146">
        <v>0</v>
      </c>
      <c r="G30" s="146">
        <v>0</v>
      </c>
      <c r="H30" s="146">
        <v>3</v>
      </c>
      <c r="I30" s="146">
        <v>0</v>
      </c>
      <c r="J30" s="146">
        <v>0</v>
      </c>
      <c r="K30" s="146">
        <v>0</v>
      </c>
      <c r="L30" s="146">
        <v>0</v>
      </c>
      <c r="M30" s="146">
        <v>0</v>
      </c>
      <c r="N30" s="42"/>
      <c r="O30" s="42"/>
      <c r="P30" s="42"/>
      <c r="Q30" s="42"/>
      <c r="R30" s="42"/>
      <c r="S30" s="42"/>
      <c r="T30" s="42"/>
    </row>
    <row r="31" spans="1:20" ht="15" x14ac:dyDescent="0.2">
      <c r="A31" s="147">
        <v>30</v>
      </c>
      <c r="B31" s="146">
        <v>0</v>
      </c>
      <c r="C31" s="48"/>
      <c r="D31" s="146">
        <v>0</v>
      </c>
      <c r="E31" s="146">
        <v>0</v>
      </c>
      <c r="F31" s="146">
        <v>0</v>
      </c>
      <c r="G31" s="146">
        <v>20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42"/>
      <c r="O31" s="42"/>
      <c r="P31" s="42"/>
      <c r="Q31" s="42"/>
      <c r="R31" s="42"/>
      <c r="S31" s="42"/>
      <c r="T31" s="42"/>
    </row>
    <row r="32" spans="1:20" ht="15" x14ac:dyDescent="0.2">
      <c r="A32" s="147">
        <v>31</v>
      </c>
      <c r="B32" s="146">
        <v>0</v>
      </c>
      <c r="C32" s="48"/>
      <c r="D32" s="146">
        <v>0</v>
      </c>
      <c r="E32" s="48"/>
      <c r="F32" s="146">
        <v>0</v>
      </c>
      <c r="G32" s="48"/>
      <c r="H32" s="146">
        <v>0</v>
      </c>
      <c r="I32" s="146">
        <v>0</v>
      </c>
      <c r="J32" s="48"/>
      <c r="K32" s="146">
        <v>0</v>
      </c>
      <c r="L32" s="48"/>
      <c r="M32" s="146">
        <v>0</v>
      </c>
      <c r="N32" s="45"/>
      <c r="O32" s="45"/>
      <c r="P32" s="45"/>
      <c r="Q32" s="45"/>
      <c r="R32" s="45"/>
      <c r="S32" s="45"/>
      <c r="T32" s="45"/>
    </row>
    <row r="33" spans="1:20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</row>
    <row r="34" spans="1:20" ht="12.75" customHeight="1" x14ac:dyDescent="0.2">
      <c r="A34" s="47" t="s">
        <v>78</v>
      </c>
      <c r="B34" s="146">
        <v>26</v>
      </c>
      <c r="C34" s="146">
        <v>0</v>
      </c>
      <c r="D34" s="146">
        <v>126</v>
      </c>
      <c r="E34" s="146">
        <v>0</v>
      </c>
      <c r="F34" s="146">
        <v>0</v>
      </c>
      <c r="G34" s="146">
        <v>96</v>
      </c>
      <c r="H34" s="146">
        <v>154</v>
      </c>
      <c r="I34" s="146">
        <v>234</v>
      </c>
      <c r="J34" s="146">
        <v>0</v>
      </c>
      <c r="K34" s="146">
        <v>0</v>
      </c>
      <c r="L34" s="146">
        <v>0</v>
      </c>
      <c r="M34" s="146">
        <v>0</v>
      </c>
      <c r="N34" s="45"/>
      <c r="O34" s="45"/>
      <c r="P34" s="45"/>
      <c r="Q34" s="45"/>
      <c r="R34" s="45"/>
      <c r="S34" s="45"/>
      <c r="T34" s="45"/>
    </row>
    <row r="35" spans="1:20" ht="12.75" customHeight="1" x14ac:dyDescent="0.2">
      <c r="A35" s="47" t="s">
        <v>128</v>
      </c>
      <c r="B35" s="147">
        <v>2</v>
      </c>
      <c r="C35" s="147">
        <v>0</v>
      </c>
      <c r="D35" s="147">
        <v>3</v>
      </c>
      <c r="E35" s="147">
        <v>0</v>
      </c>
      <c r="F35" s="147">
        <v>0</v>
      </c>
      <c r="G35" s="147">
        <v>5</v>
      </c>
      <c r="H35" s="147">
        <v>12</v>
      </c>
      <c r="I35" s="147">
        <v>6</v>
      </c>
      <c r="J35" s="147">
        <v>0</v>
      </c>
      <c r="K35" s="147">
        <v>0</v>
      </c>
      <c r="L35" s="147">
        <v>0</v>
      </c>
      <c r="M35" s="147">
        <v>0</v>
      </c>
      <c r="N35" s="45"/>
      <c r="O35" s="45"/>
      <c r="P35" s="45"/>
      <c r="Q35" s="45"/>
      <c r="R35" s="45"/>
      <c r="S35" s="45"/>
      <c r="T35" s="45"/>
    </row>
    <row r="36" spans="1:20" ht="12.75" customHeight="1" x14ac:dyDescent="0.2">
      <c r="A36" s="47" t="s">
        <v>129</v>
      </c>
      <c r="B36" s="147">
        <v>31</v>
      </c>
      <c r="C36" s="147">
        <v>28</v>
      </c>
      <c r="D36" s="147">
        <v>31</v>
      </c>
      <c r="E36" s="147">
        <v>30</v>
      </c>
      <c r="F36" s="147">
        <v>31</v>
      </c>
      <c r="G36" s="147">
        <v>30</v>
      </c>
      <c r="H36" s="147">
        <v>31</v>
      </c>
      <c r="I36" s="147">
        <v>31</v>
      </c>
      <c r="J36" s="147">
        <v>30</v>
      </c>
      <c r="K36" s="147">
        <v>31</v>
      </c>
      <c r="L36" s="147">
        <v>30</v>
      </c>
      <c r="M36" s="147">
        <v>31</v>
      </c>
      <c r="N36" s="4"/>
      <c r="O36" s="4"/>
      <c r="P36" s="4"/>
      <c r="Q36" s="4"/>
      <c r="R36" s="4"/>
      <c r="S36" s="4"/>
      <c r="T36" s="4"/>
    </row>
    <row r="37" spans="1:20" ht="12.75" customHeight="1" x14ac:dyDescent="0.2">
      <c r="A37" s="38" t="s">
        <v>47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F0B5-1B72-46E5-BEE7-E3EAF3DC5C6E}">
  <dimension ref="A1:M39"/>
  <sheetViews>
    <sheetView workbookViewId="0">
      <selection sqref="A1:M39"/>
    </sheetView>
  </sheetViews>
  <sheetFormatPr defaultRowHeight="12.75" x14ac:dyDescent="0.2"/>
  <cols>
    <col min="1" max="1" width="28.83203125" customWidth="1"/>
  </cols>
  <sheetData>
    <row r="1" spans="1:13" ht="15" x14ac:dyDescent="0.2">
      <c r="A1" s="51" t="s">
        <v>63</v>
      </c>
      <c r="B1" s="51" t="s">
        <v>52</v>
      </c>
      <c r="C1" s="51" t="s">
        <v>107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80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35</v>
      </c>
      <c r="J3" s="29">
        <v>18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28</v>
      </c>
      <c r="K4" s="29">
        <v>0</v>
      </c>
      <c r="L4" s="29">
        <v>0</v>
      </c>
      <c r="M4" s="29">
        <v>0</v>
      </c>
    </row>
    <row r="5" spans="1:13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30</v>
      </c>
      <c r="J5" s="29">
        <v>13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68</v>
      </c>
      <c r="J6" s="29">
        <v>4</v>
      </c>
      <c r="K6" s="29">
        <v>0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75</v>
      </c>
      <c r="J7" s="29">
        <v>0</v>
      </c>
      <c r="K7" s="29">
        <v>0</v>
      </c>
      <c r="L7" s="29">
        <v>0</v>
      </c>
      <c r="M7" s="29">
        <v>0</v>
      </c>
    </row>
    <row r="8" spans="1:13" ht="14.25" x14ac:dyDescent="0.2">
      <c r="A8" s="127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143</v>
      </c>
      <c r="J8" s="29">
        <v>0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18</v>
      </c>
      <c r="J9" s="29">
        <v>19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7</v>
      </c>
      <c r="J10" s="29">
        <v>0</v>
      </c>
      <c r="K10" s="29">
        <v>0</v>
      </c>
      <c r="L10" s="29">
        <v>0</v>
      </c>
      <c r="M10" s="29">
        <v>0</v>
      </c>
    </row>
    <row r="11" spans="1:13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15</v>
      </c>
      <c r="J12" s="29">
        <v>2</v>
      </c>
      <c r="K12" s="29">
        <v>0</v>
      </c>
      <c r="L12" s="29">
        <v>0</v>
      </c>
      <c r="M12" s="29">
        <v>0</v>
      </c>
    </row>
    <row r="13" spans="1:13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1</v>
      </c>
      <c r="H13" s="29">
        <v>0</v>
      </c>
      <c r="I13" s="29">
        <v>43</v>
      </c>
      <c r="J13" s="29">
        <v>0</v>
      </c>
      <c r="K13" s="29">
        <v>0</v>
      </c>
      <c r="L13" s="29">
        <v>0</v>
      </c>
      <c r="M13" s="29">
        <v>0</v>
      </c>
    </row>
    <row r="14" spans="1:13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5</v>
      </c>
      <c r="H14" s="29">
        <v>0</v>
      </c>
      <c r="I14" s="29">
        <v>9</v>
      </c>
      <c r="J14" s="29">
        <v>0</v>
      </c>
      <c r="K14" s="29">
        <v>0</v>
      </c>
      <c r="L14" s="29">
        <v>0</v>
      </c>
      <c r="M14" s="29">
        <v>0</v>
      </c>
    </row>
    <row r="15" spans="1:13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23</v>
      </c>
      <c r="G15" s="29">
        <v>0</v>
      </c>
      <c r="H15" s="29">
        <v>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</row>
    <row r="16" spans="1:13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33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</row>
    <row r="18" spans="1:13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</row>
    <row r="19" spans="1:13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7</v>
      </c>
      <c r="H19" s="29">
        <v>22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12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10</v>
      </c>
      <c r="H21" s="29">
        <v>25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</row>
    <row r="22" spans="1:13" ht="14.25" x14ac:dyDescent="0.2">
      <c r="A22" s="31">
        <v>21</v>
      </c>
      <c r="B22" s="29">
        <v>9</v>
      </c>
      <c r="C22" s="29">
        <v>3</v>
      </c>
      <c r="D22" s="29">
        <v>0</v>
      </c>
      <c r="E22" s="29">
        <v>0</v>
      </c>
      <c r="F22" s="29">
        <v>0</v>
      </c>
      <c r="G22" s="29">
        <v>0</v>
      </c>
      <c r="H22" s="29">
        <v>14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</row>
    <row r="23" spans="1:13" ht="14.25" x14ac:dyDescent="0.2">
      <c r="A23" s="31">
        <v>22</v>
      </c>
      <c r="B23" s="29">
        <v>28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15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5</v>
      </c>
      <c r="H24" s="29">
        <v>7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</row>
    <row r="25" spans="1:13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</row>
    <row r="26" spans="1:13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18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</row>
    <row r="28" spans="1:13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5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29"/>
      <c r="D30" s="29">
        <v>0</v>
      </c>
      <c r="E30" s="29">
        <v>0</v>
      </c>
      <c r="F30" s="29">
        <v>0</v>
      </c>
      <c r="G30" s="29">
        <v>0</v>
      </c>
      <c r="H30" s="29">
        <v>72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</row>
    <row r="32" spans="1:13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</row>
    <row r="33" spans="1:13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ht="14.25" x14ac:dyDescent="0.2">
      <c r="A34" s="118" t="s">
        <v>101</v>
      </c>
      <c r="B34" s="120">
        <f>SUM(B2:B32)</f>
        <v>37</v>
      </c>
      <c r="C34" s="120">
        <f t="shared" ref="C34:M34" si="0">SUM(C2:C32)</f>
        <v>3</v>
      </c>
      <c r="D34" s="120">
        <f t="shared" si="0"/>
        <v>0</v>
      </c>
      <c r="E34" s="120">
        <f t="shared" si="0"/>
        <v>12</v>
      </c>
      <c r="F34" s="120">
        <f t="shared" si="0"/>
        <v>23</v>
      </c>
      <c r="G34" s="120">
        <f t="shared" si="0"/>
        <v>28</v>
      </c>
      <c r="H34" s="120">
        <f t="shared" si="0"/>
        <v>215</v>
      </c>
      <c r="I34" s="120">
        <f t="shared" si="0"/>
        <v>443</v>
      </c>
      <c r="J34" s="120">
        <f t="shared" si="0"/>
        <v>84</v>
      </c>
      <c r="K34" s="120">
        <f t="shared" si="0"/>
        <v>0</v>
      </c>
      <c r="L34" s="120">
        <f t="shared" si="0"/>
        <v>0</v>
      </c>
      <c r="M34" s="120">
        <f t="shared" si="0"/>
        <v>0</v>
      </c>
    </row>
    <row r="35" spans="1:13" ht="14.25" x14ac:dyDescent="0.2">
      <c r="A35" s="118" t="s">
        <v>102</v>
      </c>
      <c r="B35" s="53">
        <v>2</v>
      </c>
      <c r="C35" s="53">
        <v>1</v>
      </c>
      <c r="D35" s="53">
        <v>0</v>
      </c>
      <c r="E35" s="53">
        <v>1</v>
      </c>
      <c r="F35" s="122">
        <v>1</v>
      </c>
      <c r="G35" s="53">
        <v>4</v>
      </c>
      <c r="H35" s="119">
        <v>10</v>
      </c>
      <c r="I35" s="53">
        <v>10</v>
      </c>
      <c r="J35" s="53">
        <v>5</v>
      </c>
      <c r="K35" s="53">
        <v>0</v>
      </c>
      <c r="L35" s="53">
        <v>0</v>
      </c>
      <c r="M35" s="53">
        <v>0</v>
      </c>
    </row>
    <row r="36" spans="1:13" ht="14.25" x14ac:dyDescent="0.2">
      <c r="A36" s="123" t="s">
        <v>123</v>
      </c>
      <c r="B36" s="124">
        <v>31</v>
      </c>
      <c r="C36" s="124">
        <v>28</v>
      </c>
      <c r="D36" s="124">
        <v>31</v>
      </c>
      <c r="E36" s="124">
        <v>30</v>
      </c>
      <c r="F36" s="124">
        <v>31</v>
      </c>
      <c r="G36" s="124">
        <v>30</v>
      </c>
      <c r="H36" s="124">
        <v>31</v>
      </c>
      <c r="I36" s="125">
        <v>31</v>
      </c>
      <c r="J36" s="124">
        <v>30</v>
      </c>
      <c r="K36" s="125">
        <v>31</v>
      </c>
      <c r="L36" s="124">
        <v>30</v>
      </c>
      <c r="M36" s="125">
        <v>31</v>
      </c>
    </row>
    <row r="37" spans="1:13" ht="14.25" x14ac:dyDescent="0.2">
      <c r="A37" s="128"/>
      <c r="B37" s="129"/>
      <c r="C37" s="129"/>
      <c r="D37" s="129"/>
      <c r="E37" s="129"/>
      <c r="F37" s="129"/>
      <c r="G37" s="129"/>
      <c r="H37" s="129"/>
      <c r="I37" s="130"/>
      <c r="J37" s="129"/>
      <c r="K37" s="130"/>
      <c r="L37" s="129"/>
      <c r="M37" s="130"/>
    </row>
    <row r="38" spans="1:13" x14ac:dyDescent="0.2">
      <c r="A38" s="139" t="s">
        <v>124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</row>
    <row r="39" spans="1:13" x14ac:dyDescent="0.2">
      <c r="A39" s="140" t="s">
        <v>125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41D0-AE81-4709-A0E5-7865E95A95D6}">
  <dimension ref="A1:M39"/>
  <sheetViews>
    <sheetView topLeftCell="A3" workbookViewId="0">
      <selection activeCell="A34" sqref="A34:A36"/>
    </sheetView>
  </sheetViews>
  <sheetFormatPr defaultRowHeight="12.75" x14ac:dyDescent="0.2"/>
  <cols>
    <col min="1" max="1" width="27.33203125" customWidth="1"/>
  </cols>
  <sheetData>
    <row r="1" spans="1:13" ht="15" x14ac:dyDescent="0.2">
      <c r="A1" s="51" t="s">
        <v>63</v>
      </c>
      <c r="B1" s="51" t="s">
        <v>52</v>
      </c>
      <c r="C1" s="51" t="s">
        <v>107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80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8</v>
      </c>
      <c r="J2" s="29">
        <v>0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10</v>
      </c>
      <c r="I3" s="29">
        <v>21</v>
      </c>
      <c r="J3" s="29">
        <v>0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12</v>
      </c>
      <c r="I4" s="29">
        <v>2</v>
      </c>
      <c r="J4" s="29">
        <v>0</v>
      </c>
      <c r="K4" s="29">
        <v>0</v>
      </c>
      <c r="L4" s="29">
        <v>0</v>
      </c>
      <c r="M4" s="29">
        <v>0</v>
      </c>
    </row>
    <row r="5" spans="1:13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23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2</v>
      </c>
      <c r="I6" s="29">
        <v>0</v>
      </c>
      <c r="J6" s="29">
        <v>0</v>
      </c>
      <c r="K6" s="29">
        <v>9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55</v>
      </c>
      <c r="J7" s="29">
        <v>0</v>
      </c>
      <c r="K7" s="29">
        <v>0</v>
      </c>
      <c r="L7" s="29">
        <v>0</v>
      </c>
      <c r="M7" s="29">
        <v>0</v>
      </c>
    </row>
    <row r="8" spans="1:13" ht="14.25" x14ac:dyDescent="0.2">
      <c r="A8" s="127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29</v>
      </c>
      <c r="I9" s="29">
        <v>18</v>
      </c>
      <c r="J9" s="29">
        <v>0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11</v>
      </c>
      <c r="H10" s="29">
        <v>0</v>
      </c>
      <c r="I10" s="29">
        <v>14</v>
      </c>
      <c r="J10" s="29">
        <v>0</v>
      </c>
      <c r="K10" s="29">
        <v>0</v>
      </c>
      <c r="L10" s="29">
        <v>0</v>
      </c>
      <c r="M10" s="29">
        <v>0</v>
      </c>
    </row>
    <row r="11" spans="1:13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19</v>
      </c>
      <c r="H11" s="29">
        <v>0</v>
      </c>
      <c r="I11" s="29">
        <v>24</v>
      </c>
      <c r="J11" s="29">
        <v>0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4</v>
      </c>
      <c r="I12" s="29">
        <v>154</v>
      </c>
      <c r="J12" s="29">
        <v>0</v>
      </c>
      <c r="K12" s="29">
        <v>0</v>
      </c>
      <c r="L12" s="29">
        <v>0</v>
      </c>
      <c r="M12" s="29">
        <v>0</v>
      </c>
    </row>
    <row r="13" spans="1:13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13</v>
      </c>
      <c r="H13" s="29">
        <v>0</v>
      </c>
      <c r="I13" s="29">
        <v>0</v>
      </c>
      <c r="J13" s="29">
        <v>0</v>
      </c>
      <c r="K13" s="29">
        <v>33</v>
      </c>
      <c r="L13" s="29">
        <v>0</v>
      </c>
      <c r="M13" s="29">
        <v>0</v>
      </c>
    </row>
    <row r="14" spans="1:13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11</v>
      </c>
      <c r="I14" s="29">
        <v>12</v>
      </c>
      <c r="J14" s="29">
        <v>0</v>
      </c>
      <c r="K14" s="29">
        <v>0</v>
      </c>
      <c r="L14" s="29">
        <v>0</v>
      </c>
      <c r="M14" s="29">
        <v>0</v>
      </c>
    </row>
    <row r="15" spans="1:13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4</v>
      </c>
      <c r="J15" s="29">
        <v>0</v>
      </c>
      <c r="K15" s="29">
        <v>0</v>
      </c>
      <c r="L15" s="29">
        <v>0</v>
      </c>
      <c r="M15" s="29">
        <v>0</v>
      </c>
    </row>
    <row r="16" spans="1:13" ht="14.25" x14ac:dyDescent="0.2">
      <c r="A16" s="31">
        <v>15</v>
      </c>
      <c r="B16" s="29">
        <v>0</v>
      </c>
      <c r="C16" s="29">
        <v>10</v>
      </c>
      <c r="D16" s="29">
        <v>0</v>
      </c>
      <c r="E16" s="29">
        <v>0</v>
      </c>
      <c r="F16" s="29">
        <v>0</v>
      </c>
      <c r="G16" s="29">
        <v>0</v>
      </c>
      <c r="H16" s="29">
        <v>11</v>
      </c>
      <c r="I16" s="29">
        <v>16</v>
      </c>
      <c r="J16" s="29">
        <v>0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3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</row>
    <row r="18" spans="1:13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3</v>
      </c>
      <c r="H18" s="29">
        <v>0</v>
      </c>
      <c r="I18" s="29">
        <v>2</v>
      </c>
      <c r="J18" s="29">
        <v>0</v>
      </c>
      <c r="K18" s="29">
        <v>0</v>
      </c>
      <c r="L18" s="29">
        <v>0</v>
      </c>
      <c r="M18" s="29">
        <v>0</v>
      </c>
    </row>
    <row r="19" spans="1:13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6</v>
      </c>
      <c r="H19" s="29">
        <v>12</v>
      </c>
      <c r="I19" s="29">
        <v>24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17</v>
      </c>
      <c r="I20" s="29">
        <v>35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2</v>
      </c>
      <c r="I21" s="29">
        <v>18</v>
      </c>
      <c r="J21" s="29">
        <v>0</v>
      </c>
      <c r="K21" s="29">
        <v>0</v>
      </c>
      <c r="L21" s="29">
        <v>0</v>
      </c>
      <c r="M21" s="29">
        <v>0</v>
      </c>
    </row>
    <row r="22" spans="1:13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65</v>
      </c>
      <c r="J22" s="29">
        <v>21</v>
      </c>
      <c r="K22" s="29">
        <v>0</v>
      </c>
      <c r="L22" s="29">
        <v>0</v>
      </c>
      <c r="M22" s="29">
        <v>0</v>
      </c>
    </row>
    <row r="23" spans="1:13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4</v>
      </c>
      <c r="I23" s="29">
        <v>0</v>
      </c>
      <c r="J23" s="29">
        <v>2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7</v>
      </c>
      <c r="I24" s="29">
        <v>3</v>
      </c>
      <c r="J24" s="29">
        <v>0</v>
      </c>
      <c r="K24" s="29">
        <v>0</v>
      </c>
      <c r="L24" s="29">
        <v>0</v>
      </c>
      <c r="M24" s="29">
        <v>0</v>
      </c>
    </row>
    <row r="25" spans="1:13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2</v>
      </c>
      <c r="I25" s="29">
        <v>9</v>
      </c>
      <c r="J25" s="29">
        <v>21</v>
      </c>
      <c r="K25" s="29">
        <v>0</v>
      </c>
      <c r="L25" s="29">
        <v>0</v>
      </c>
      <c r="M25" s="29">
        <v>0</v>
      </c>
    </row>
    <row r="26" spans="1:13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1</v>
      </c>
      <c r="H26" s="29">
        <v>3</v>
      </c>
      <c r="I26" s="29">
        <v>2</v>
      </c>
      <c r="J26" s="29">
        <v>6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12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</row>
    <row r="28" spans="1:13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50</v>
      </c>
      <c r="H28" s="29">
        <v>17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67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29"/>
      <c r="D30" s="29">
        <v>0</v>
      </c>
      <c r="E30" s="29">
        <v>0</v>
      </c>
      <c r="F30" s="29">
        <v>0</v>
      </c>
      <c r="G30" s="29">
        <v>0</v>
      </c>
      <c r="H30" s="29">
        <v>82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24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</row>
    <row r="32" spans="1:13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3</v>
      </c>
      <c r="I32" s="29">
        <v>0</v>
      </c>
      <c r="J32" s="80"/>
      <c r="K32" s="29">
        <v>0</v>
      </c>
      <c r="L32" s="80"/>
      <c r="M32" s="29">
        <v>0</v>
      </c>
    </row>
    <row r="33" spans="1:13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ht="14.25" x14ac:dyDescent="0.2">
      <c r="A34" s="118" t="s">
        <v>101</v>
      </c>
      <c r="B34" s="120">
        <f>SUM(B2:B32)</f>
        <v>0</v>
      </c>
      <c r="C34" s="120">
        <f t="shared" ref="C34:M34" si="0">SUM(C2:C32)</f>
        <v>13</v>
      </c>
      <c r="D34" s="120">
        <f t="shared" si="0"/>
        <v>0</v>
      </c>
      <c r="E34" s="120">
        <f t="shared" si="0"/>
        <v>0</v>
      </c>
      <c r="F34" s="120">
        <f t="shared" si="0"/>
        <v>0</v>
      </c>
      <c r="G34" s="120">
        <f t="shared" si="0"/>
        <v>103</v>
      </c>
      <c r="H34" s="120">
        <f t="shared" si="0"/>
        <v>354</v>
      </c>
      <c r="I34" s="120">
        <f t="shared" si="0"/>
        <v>486</v>
      </c>
      <c r="J34" s="120">
        <f t="shared" si="0"/>
        <v>50</v>
      </c>
      <c r="K34" s="120">
        <f t="shared" si="0"/>
        <v>42</v>
      </c>
      <c r="L34" s="120">
        <f t="shared" si="0"/>
        <v>0</v>
      </c>
      <c r="M34" s="120">
        <f t="shared" si="0"/>
        <v>0</v>
      </c>
    </row>
    <row r="35" spans="1:13" ht="14.25" x14ac:dyDescent="0.2">
      <c r="A35" s="118" t="s">
        <v>102</v>
      </c>
      <c r="B35" s="53">
        <v>0</v>
      </c>
      <c r="C35" s="53">
        <v>2</v>
      </c>
      <c r="D35" s="53">
        <v>0</v>
      </c>
      <c r="E35" s="53">
        <v>0</v>
      </c>
      <c r="F35" s="53">
        <v>0</v>
      </c>
      <c r="G35" s="53">
        <v>6</v>
      </c>
      <c r="H35" s="119">
        <v>18</v>
      </c>
      <c r="I35" s="53">
        <v>16</v>
      </c>
      <c r="J35" s="53">
        <v>4</v>
      </c>
      <c r="K35" s="53">
        <v>2</v>
      </c>
      <c r="L35" s="53">
        <v>0</v>
      </c>
      <c r="M35" s="53">
        <v>0</v>
      </c>
    </row>
    <row r="36" spans="1:13" ht="14.25" x14ac:dyDescent="0.2">
      <c r="A36" s="123" t="s">
        <v>123</v>
      </c>
      <c r="B36" s="124">
        <v>31</v>
      </c>
      <c r="C36" s="124">
        <v>28</v>
      </c>
      <c r="D36" s="124">
        <v>31</v>
      </c>
      <c r="E36" s="124">
        <v>30</v>
      </c>
      <c r="F36" s="124">
        <v>31</v>
      </c>
      <c r="G36" s="124">
        <v>30</v>
      </c>
      <c r="H36" s="124">
        <v>31</v>
      </c>
      <c r="I36" s="125">
        <v>31</v>
      </c>
      <c r="J36" s="124">
        <v>30</v>
      </c>
      <c r="K36" s="125">
        <v>31</v>
      </c>
      <c r="L36" s="124">
        <v>30</v>
      </c>
      <c r="M36" s="125">
        <v>31</v>
      </c>
    </row>
    <row r="37" spans="1:13" ht="14.25" x14ac:dyDescent="0.2">
      <c r="A37" s="128"/>
      <c r="B37" s="129"/>
      <c r="C37" s="129"/>
      <c r="D37" s="129"/>
      <c r="E37" s="129"/>
      <c r="F37" s="129"/>
      <c r="G37" s="129"/>
      <c r="H37" s="129"/>
      <c r="I37" s="130"/>
      <c r="J37" s="129"/>
      <c r="K37" s="130"/>
      <c r="L37" s="129"/>
      <c r="M37" s="130"/>
    </row>
    <row r="38" spans="1:13" x14ac:dyDescent="0.2">
      <c r="A38" s="139" t="s">
        <v>126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</row>
    <row r="39" spans="1:13" x14ac:dyDescent="0.2">
      <c r="A39" s="140" t="s">
        <v>127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0169-AB12-41E9-A14A-24C7CD881001}">
  <dimension ref="A1:O38"/>
  <sheetViews>
    <sheetView workbookViewId="0">
      <selection activeCell="A34" sqref="A34:A36"/>
    </sheetView>
  </sheetViews>
  <sheetFormatPr defaultRowHeight="12.75" x14ac:dyDescent="0.2"/>
  <cols>
    <col min="1" max="1" width="30.83203125" customWidth="1"/>
  </cols>
  <sheetData>
    <row r="1" spans="1:15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  <c r="N1" s="45"/>
      <c r="O1" s="45"/>
    </row>
    <row r="2" spans="1:15" ht="14.25" x14ac:dyDescent="0.2">
      <c r="A2" s="102">
        <v>1</v>
      </c>
      <c r="B2" s="29">
        <v>7.6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  <c r="N2" s="42"/>
      <c r="O2" s="42"/>
    </row>
    <row r="3" spans="1:15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42"/>
      <c r="O4" s="42"/>
    </row>
    <row r="5" spans="1:15" ht="14.25" x14ac:dyDescent="0.2">
      <c r="A5" s="102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28.2</v>
      </c>
      <c r="I6" s="29">
        <v>0</v>
      </c>
      <c r="J6" s="101">
        <v>41.4</v>
      </c>
      <c r="K6" s="29">
        <v>0</v>
      </c>
      <c r="L6" s="29">
        <v>0</v>
      </c>
      <c r="M6" s="29">
        <v>0</v>
      </c>
      <c r="N6" s="42"/>
      <c r="O6" s="42"/>
    </row>
    <row r="7" spans="1:15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12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31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15</v>
      </c>
      <c r="I8" s="29">
        <v>3.3</v>
      </c>
      <c r="J8" s="29">
        <v>2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101">
        <v>7.4</v>
      </c>
      <c r="G9" s="29">
        <v>0</v>
      </c>
      <c r="H9" s="29">
        <v>0</v>
      </c>
      <c r="I9" s="101">
        <v>16</v>
      </c>
      <c r="J9" s="29">
        <v>21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17</v>
      </c>
      <c r="I10" s="29">
        <v>3.8</v>
      </c>
      <c r="J10" s="29">
        <v>7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16.5</v>
      </c>
      <c r="J11" s="29">
        <v>0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5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42"/>
      <c r="O12" s="42"/>
    </row>
    <row r="13" spans="1:15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101">
        <v>7</v>
      </c>
      <c r="J13" s="101">
        <v>14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4.5999999999999996</v>
      </c>
      <c r="H14" s="29">
        <v>18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14</v>
      </c>
      <c r="B15" s="29">
        <v>0</v>
      </c>
      <c r="C15" s="29">
        <v>0</v>
      </c>
      <c r="D15" s="29">
        <v>0</v>
      </c>
      <c r="E15" s="101">
        <v>2.5</v>
      </c>
      <c r="F15" s="29">
        <v>3</v>
      </c>
      <c r="G15" s="29">
        <v>0</v>
      </c>
      <c r="H15" s="29">
        <v>0</v>
      </c>
      <c r="I15" s="29">
        <v>9.1</v>
      </c>
      <c r="J15" s="29">
        <v>0</v>
      </c>
      <c r="K15" s="29">
        <v>0</v>
      </c>
      <c r="L15" s="29">
        <v>0</v>
      </c>
      <c r="M15" s="29">
        <v>0</v>
      </c>
      <c r="N15" s="42"/>
      <c r="O15" s="42"/>
    </row>
    <row r="16" spans="1:15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9.1</v>
      </c>
      <c r="F16" s="29">
        <v>0</v>
      </c>
      <c r="G16" s="29">
        <v>6.9</v>
      </c>
      <c r="H16" s="29">
        <v>0</v>
      </c>
      <c r="I16" s="29">
        <v>10.4</v>
      </c>
      <c r="J16" s="29">
        <v>0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16</v>
      </c>
      <c r="B17" s="29">
        <v>0</v>
      </c>
      <c r="C17" s="29">
        <v>0</v>
      </c>
      <c r="D17" s="29">
        <v>0</v>
      </c>
      <c r="E17" s="80"/>
      <c r="F17" s="29">
        <v>0</v>
      </c>
      <c r="G17" s="29">
        <v>0</v>
      </c>
      <c r="H17" s="29">
        <v>14</v>
      </c>
      <c r="I17" s="29">
        <v>0.8</v>
      </c>
      <c r="J17" s="29">
        <v>6</v>
      </c>
      <c r="K17" s="29">
        <v>0</v>
      </c>
      <c r="L17" s="29">
        <v>0</v>
      </c>
      <c r="M17" s="29">
        <v>0</v>
      </c>
      <c r="N17" s="42"/>
      <c r="O17" s="42"/>
    </row>
    <row r="18" spans="1:15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5.6</v>
      </c>
      <c r="H18" s="29">
        <v>5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2.8</v>
      </c>
      <c r="G20" s="29">
        <v>2.8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66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12</v>
      </c>
      <c r="I24" s="29">
        <v>15.4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11.7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5</v>
      </c>
      <c r="J26" s="29">
        <v>0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1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19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29</v>
      </c>
      <c r="B30" s="29">
        <v>0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8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  <c r="N32" s="42"/>
      <c r="O32" s="42"/>
    </row>
    <row r="33" spans="1:15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12.75" customHeight="1" x14ac:dyDescent="0.2">
      <c r="A34" s="118" t="s">
        <v>101</v>
      </c>
      <c r="B34" s="101">
        <v>7.6</v>
      </c>
      <c r="C34" s="29">
        <v>0</v>
      </c>
      <c r="D34" s="29">
        <v>0</v>
      </c>
      <c r="E34" s="101">
        <v>11.6</v>
      </c>
      <c r="F34" s="101">
        <v>13.2</v>
      </c>
      <c r="G34" s="101">
        <v>19.899999999999999</v>
      </c>
      <c r="H34" s="101">
        <v>164.9</v>
      </c>
      <c r="I34" s="29">
        <v>164.3</v>
      </c>
      <c r="J34" s="29">
        <v>91.4</v>
      </c>
      <c r="K34" s="29">
        <v>0</v>
      </c>
      <c r="L34" s="29">
        <v>0</v>
      </c>
      <c r="M34" s="29">
        <v>0</v>
      </c>
      <c r="N34" s="45"/>
      <c r="O34" s="45"/>
    </row>
    <row r="35" spans="1:15" ht="12.75" customHeight="1" x14ac:dyDescent="0.2">
      <c r="A35" s="118" t="s">
        <v>102</v>
      </c>
      <c r="B35" s="80"/>
      <c r="C35" s="31">
        <v>0</v>
      </c>
      <c r="D35" s="31">
        <v>0</v>
      </c>
      <c r="E35" s="102">
        <v>2</v>
      </c>
      <c r="F35" s="31">
        <v>3</v>
      </c>
      <c r="G35" s="102">
        <v>4</v>
      </c>
      <c r="H35" s="102">
        <v>12</v>
      </c>
      <c r="I35" s="102">
        <v>11</v>
      </c>
      <c r="J35" s="31">
        <v>5</v>
      </c>
      <c r="K35" s="31">
        <v>0</v>
      </c>
      <c r="L35" s="31">
        <v>0</v>
      </c>
      <c r="M35" s="31">
        <v>0</v>
      </c>
      <c r="N35" s="45"/>
      <c r="O35" s="45"/>
    </row>
    <row r="36" spans="1:15" ht="12.75" customHeight="1" x14ac:dyDescent="0.2">
      <c r="A36" s="123" t="s">
        <v>123</v>
      </c>
      <c r="B36" s="31">
        <v>31</v>
      </c>
      <c r="C36" s="31">
        <v>28</v>
      </c>
      <c r="D36" s="31">
        <v>31</v>
      </c>
      <c r="E36" s="102">
        <v>30</v>
      </c>
      <c r="F36" s="31">
        <v>31</v>
      </c>
      <c r="G36" s="31">
        <v>30</v>
      </c>
      <c r="H36" s="31">
        <v>31</v>
      </c>
      <c r="I36" s="102">
        <v>31</v>
      </c>
      <c r="J36" s="31">
        <v>30</v>
      </c>
      <c r="K36" s="31">
        <v>31</v>
      </c>
      <c r="L36" s="31">
        <v>30</v>
      </c>
      <c r="M36" s="102">
        <v>31</v>
      </c>
      <c r="N36" s="45"/>
      <c r="O36" s="45"/>
    </row>
    <row r="37" spans="1:15" ht="12.75" customHeight="1" x14ac:dyDescent="0.2">
      <c r="A37" s="88" t="s">
        <v>46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</row>
    <row r="38" spans="1:15" ht="12.75" customHeight="1" x14ac:dyDescent="0.2">
      <c r="A38" s="88"/>
      <c r="B38" s="8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1492-ABE9-4690-BE30-7201B4200B1B}">
  <dimension ref="A1:O37"/>
  <sheetViews>
    <sheetView workbookViewId="0">
      <selection activeCell="A34" sqref="A34:A36"/>
    </sheetView>
  </sheetViews>
  <sheetFormatPr defaultRowHeight="12.75" x14ac:dyDescent="0.2"/>
  <cols>
    <col min="1" max="1" width="27" customWidth="1"/>
  </cols>
  <sheetData>
    <row r="1" spans="1:15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  <c r="N1" s="45"/>
      <c r="O1" s="45"/>
    </row>
    <row r="2" spans="1:15" ht="14.25" x14ac:dyDescent="0.2">
      <c r="A2" s="102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  <c r="N2" s="42"/>
      <c r="O2" s="42"/>
    </row>
    <row r="3" spans="1:15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101">
        <v>15.9</v>
      </c>
      <c r="J3" s="29">
        <v>0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101">
        <v>6.1</v>
      </c>
      <c r="H4" s="29">
        <v>0</v>
      </c>
      <c r="I4" s="29">
        <v>0</v>
      </c>
      <c r="J4" s="29">
        <v>11.8</v>
      </c>
      <c r="K4" s="29">
        <v>0</v>
      </c>
      <c r="L4" s="29">
        <v>0</v>
      </c>
      <c r="M4" s="29">
        <v>0</v>
      </c>
      <c r="N4" s="42"/>
      <c r="O4" s="42"/>
    </row>
    <row r="5" spans="1:15" ht="14.25" x14ac:dyDescent="0.2">
      <c r="A5" s="102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101">
        <v>17.8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9.9</v>
      </c>
      <c r="I6" s="29">
        <v>10.4</v>
      </c>
      <c r="J6" s="101">
        <v>31.9</v>
      </c>
      <c r="K6" s="29">
        <v>0</v>
      </c>
      <c r="L6" s="29">
        <v>0</v>
      </c>
      <c r="M6" s="29">
        <v>0</v>
      </c>
      <c r="N6" s="42"/>
      <c r="O6" s="42"/>
    </row>
    <row r="7" spans="1:15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1.8</v>
      </c>
      <c r="I7" s="101">
        <v>2</v>
      </c>
      <c r="J7" s="29">
        <v>9.8000000000000007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31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91.2</v>
      </c>
      <c r="J8" s="29">
        <v>0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112.8</v>
      </c>
      <c r="J9" s="29">
        <v>0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101">
        <v>1</v>
      </c>
      <c r="I10" s="29">
        <v>14.5</v>
      </c>
      <c r="J10" s="29">
        <v>0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0.8</v>
      </c>
      <c r="H11" s="29">
        <v>63</v>
      </c>
      <c r="I11" s="29">
        <v>8.9</v>
      </c>
      <c r="J11" s="29">
        <v>0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4.8</v>
      </c>
      <c r="K12" s="29">
        <v>0</v>
      </c>
      <c r="L12" s="29">
        <v>0</v>
      </c>
      <c r="M12" s="29">
        <v>0</v>
      </c>
      <c r="N12" s="42"/>
      <c r="O12" s="42"/>
    </row>
    <row r="13" spans="1:15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2.2999999999999998</v>
      </c>
      <c r="I13" s="29">
        <v>0</v>
      </c>
      <c r="J13" s="101">
        <v>13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16.3</v>
      </c>
      <c r="I15" s="29">
        <v>5.8</v>
      </c>
      <c r="J15" s="29">
        <v>0</v>
      </c>
      <c r="K15" s="29">
        <v>0</v>
      </c>
      <c r="L15" s="29">
        <v>0</v>
      </c>
      <c r="M15" s="29">
        <v>0</v>
      </c>
      <c r="N15" s="42"/>
      <c r="O15" s="42"/>
    </row>
    <row r="16" spans="1:15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0.5</v>
      </c>
      <c r="J16" s="29">
        <v>0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101">
        <v>4.3</v>
      </c>
      <c r="I17" s="29">
        <v>5.6</v>
      </c>
      <c r="J17" s="101">
        <v>72</v>
      </c>
      <c r="K17" s="29">
        <v>0</v>
      </c>
      <c r="L17" s="29">
        <v>0</v>
      </c>
      <c r="M17" s="29">
        <v>0</v>
      </c>
      <c r="N17" s="42"/>
      <c r="O17" s="42"/>
    </row>
    <row r="18" spans="1:15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16</v>
      </c>
      <c r="J18" s="29">
        <v>1.3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101">
        <v>3.8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0.3</v>
      </c>
      <c r="I20" s="29">
        <v>19.600000000000001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15.5</v>
      </c>
      <c r="I21" s="101">
        <v>15</v>
      </c>
      <c r="J21" s="29">
        <v>9.1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2.2999999999999998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101">
        <v>2</v>
      </c>
      <c r="H23" s="29">
        <v>0.5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2.2999999999999998</v>
      </c>
      <c r="G24" s="101">
        <v>35.1</v>
      </c>
      <c r="H24" s="29">
        <v>5.0999999999999996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85</v>
      </c>
      <c r="H25" s="29">
        <v>15</v>
      </c>
      <c r="I25" s="29">
        <v>46.7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24.4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16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101">
        <v>24.6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101">
        <v>1</v>
      </c>
      <c r="H29" s="29">
        <v>2.2999999999999998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29.7</v>
      </c>
      <c r="H30" s="29">
        <v>10.4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4.0999999999999996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9.6999999999999993</v>
      </c>
      <c r="I32" s="29">
        <v>5.8</v>
      </c>
      <c r="J32" s="80"/>
      <c r="K32" s="29">
        <v>0</v>
      </c>
      <c r="L32" s="80"/>
      <c r="M32" s="29">
        <v>0</v>
      </c>
      <c r="N32" s="42"/>
      <c r="O32" s="42"/>
    </row>
    <row r="33" spans="1:15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12.75" customHeight="1" x14ac:dyDescent="0.2">
      <c r="A34" s="118" t="s">
        <v>101</v>
      </c>
      <c r="B34" s="29">
        <v>0</v>
      </c>
      <c r="C34" s="29">
        <v>0</v>
      </c>
      <c r="D34" s="29">
        <v>0</v>
      </c>
      <c r="E34" s="29">
        <v>0</v>
      </c>
      <c r="F34" s="29">
        <v>2.2999999999999998</v>
      </c>
      <c r="G34" s="101">
        <v>230.8</v>
      </c>
      <c r="H34" s="101">
        <v>161.5</v>
      </c>
      <c r="I34" s="101">
        <v>370.7</v>
      </c>
      <c r="J34" s="101">
        <v>171.5</v>
      </c>
      <c r="K34" s="29">
        <v>0</v>
      </c>
      <c r="L34" s="29">
        <v>0</v>
      </c>
      <c r="M34" s="29">
        <v>0</v>
      </c>
      <c r="N34" s="45"/>
      <c r="O34" s="45"/>
    </row>
    <row r="35" spans="1:15" ht="12.75" customHeight="1" x14ac:dyDescent="0.2">
      <c r="A35" s="118" t="s">
        <v>102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8</v>
      </c>
      <c r="H35" s="31">
        <v>10</v>
      </c>
      <c r="I35" s="102">
        <v>13</v>
      </c>
      <c r="J35" s="31">
        <v>8</v>
      </c>
      <c r="K35" s="31">
        <v>0</v>
      </c>
      <c r="L35" s="31">
        <v>0</v>
      </c>
      <c r="M35" s="31">
        <v>0</v>
      </c>
      <c r="N35" s="45"/>
      <c r="O35" s="45"/>
    </row>
    <row r="36" spans="1:15" ht="12.75" customHeight="1" x14ac:dyDescent="0.2">
      <c r="A36" s="123" t="s">
        <v>123</v>
      </c>
      <c r="B36" s="31">
        <v>31</v>
      </c>
      <c r="C36" s="31">
        <v>28</v>
      </c>
      <c r="D36" s="31">
        <v>31</v>
      </c>
      <c r="E36" s="102">
        <v>30</v>
      </c>
      <c r="F36" s="31">
        <v>31</v>
      </c>
      <c r="G36" s="31">
        <v>30</v>
      </c>
      <c r="H36" s="31">
        <v>31</v>
      </c>
      <c r="I36" s="102">
        <v>31</v>
      </c>
      <c r="J36" s="31">
        <v>30</v>
      </c>
      <c r="K36" s="31">
        <v>31</v>
      </c>
      <c r="L36" s="31">
        <v>30</v>
      </c>
      <c r="M36" s="102">
        <v>31</v>
      </c>
      <c r="N36" s="45"/>
      <c r="O36" s="45"/>
    </row>
    <row r="37" spans="1:15" ht="12.75" customHeight="1" x14ac:dyDescent="0.2">
      <c r="A37" s="88" t="s">
        <v>45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9576-F642-4005-8743-77F6BF146A66}">
  <dimension ref="A1:M35"/>
  <sheetViews>
    <sheetView workbookViewId="0">
      <selection activeCell="A34" sqref="A34:A35"/>
    </sheetView>
  </sheetViews>
  <sheetFormatPr defaultRowHeight="12.75" x14ac:dyDescent="0.2"/>
  <cols>
    <col min="1" max="1" width="22.33203125" customWidth="1"/>
  </cols>
  <sheetData>
    <row r="1" spans="1:13" x14ac:dyDescent="0.2">
      <c r="A1" s="99" t="s">
        <v>32</v>
      </c>
      <c r="B1" s="150" t="s">
        <v>33</v>
      </c>
      <c r="C1" s="99" t="s">
        <v>34</v>
      </c>
      <c r="D1" s="150" t="s">
        <v>35</v>
      </c>
      <c r="E1" s="150" t="s">
        <v>36</v>
      </c>
      <c r="F1" s="150" t="s">
        <v>37</v>
      </c>
      <c r="G1" s="150" t="s">
        <v>38</v>
      </c>
      <c r="H1" s="99" t="s">
        <v>39</v>
      </c>
      <c r="I1" s="150" t="s">
        <v>40</v>
      </c>
      <c r="J1" s="99" t="s">
        <v>41</v>
      </c>
      <c r="K1" s="99" t="s">
        <v>42</v>
      </c>
      <c r="L1" s="150" t="s">
        <v>43</v>
      </c>
      <c r="M1" s="99" t="s">
        <v>44</v>
      </c>
    </row>
    <row r="2" spans="1:13" x14ac:dyDescent="0.2">
      <c r="A2" s="104">
        <v>1</v>
      </c>
      <c r="B2" s="151">
        <v>0</v>
      </c>
      <c r="C2" s="151">
        <v>0</v>
      </c>
      <c r="D2" s="151">
        <v>0</v>
      </c>
      <c r="E2" s="151">
        <v>0</v>
      </c>
      <c r="F2" s="151">
        <v>0</v>
      </c>
      <c r="G2" s="151">
        <v>0</v>
      </c>
      <c r="H2" s="151">
        <v>0</v>
      </c>
      <c r="I2" s="151">
        <v>1</v>
      </c>
      <c r="J2" s="151">
        <v>10</v>
      </c>
      <c r="K2" s="151">
        <v>0</v>
      </c>
      <c r="L2" s="151">
        <v>0</v>
      </c>
      <c r="M2" s="151">
        <v>0</v>
      </c>
    </row>
    <row r="3" spans="1:13" x14ac:dyDescent="0.2">
      <c r="A3" s="152">
        <v>2</v>
      </c>
      <c r="B3" s="151">
        <v>0</v>
      </c>
      <c r="C3" s="151">
        <v>0</v>
      </c>
      <c r="D3" s="151">
        <v>0</v>
      </c>
      <c r="E3" s="151">
        <v>0</v>
      </c>
      <c r="F3" s="151">
        <v>0</v>
      </c>
      <c r="G3" s="151">
        <v>0</v>
      </c>
      <c r="H3" s="100">
        <v>1</v>
      </c>
      <c r="I3" s="100">
        <v>2</v>
      </c>
      <c r="J3" s="151">
        <v>31</v>
      </c>
      <c r="K3" s="151">
        <v>0</v>
      </c>
      <c r="L3" s="151">
        <v>0</v>
      </c>
      <c r="M3" s="151">
        <v>0</v>
      </c>
    </row>
    <row r="4" spans="1:13" x14ac:dyDescent="0.2">
      <c r="A4" s="152">
        <v>3</v>
      </c>
      <c r="B4" s="151">
        <v>0</v>
      </c>
      <c r="C4" s="151">
        <v>0</v>
      </c>
      <c r="D4" s="151">
        <v>0</v>
      </c>
      <c r="E4" s="151">
        <v>0</v>
      </c>
      <c r="F4" s="151">
        <v>0</v>
      </c>
      <c r="G4" s="151">
        <v>0</v>
      </c>
      <c r="H4" s="151">
        <v>0</v>
      </c>
      <c r="I4" s="151">
        <v>5</v>
      </c>
      <c r="J4" s="151">
        <v>0</v>
      </c>
      <c r="K4" s="151">
        <v>0</v>
      </c>
      <c r="L4" s="151">
        <v>0</v>
      </c>
      <c r="M4" s="151">
        <v>0</v>
      </c>
    </row>
    <row r="5" spans="1:13" x14ac:dyDescent="0.2">
      <c r="A5" s="104">
        <v>4</v>
      </c>
      <c r="B5" s="151">
        <v>0</v>
      </c>
      <c r="C5" s="151">
        <v>0</v>
      </c>
      <c r="D5" s="151">
        <v>0</v>
      </c>
      <c r="E5" s="151">
        <v>0</v>
      </c>
      <c r="F5" s="151">
        <v>0</v>
      </c>
      <c r="G5" s="151">
        <v>4</v>
      </c>
      <c r="H5" s="151">
        <v>53</v>
      </c>
      <c r="I5" s="151">
        <v>1</v>
      </c>
      <c r="J5" s="151">
        <v>30</v>
      </c>
      <c r="K5" s="151">
        <v>0</v>
      </c>
      <c r="L5" s="151">
        <v>0</v>
      </c>
      <c r="M5" s="151">
        <v>0</v>
      </c>
    </row>
    <row r="6" spans="1:13" x14ac:dyDescent="0.2">
      <c r="A6" s="152">
        <v>5</v>
      </c>
      <c r="B6" s="151">
        <v>0</v>
      </c>
      <c r="C6" s="151">
        <v>0</v>
      </c>
      <c r="D6" s="151">
        <v>0</v>
      </c>
      <c r="E6" s="151">
        <v>0</v>
      </c>
      <c r="F6" s="151">
        <v>0</v>
      </c>
      <c r="G6" s="151">
        <v>0</v>
      </c>
      <c r="H6" s="151">
        <v>12</v>
      </c>
      <c r="I6" s="151">
        <v>1</v>
      </c>
      <c r="J6" s="151">
        <v>14</v>
      </c>
      <c r="K6" s="151">
        <v>0</v>
      </c>
      <c r="L6" s="151">
        <v>0</v>
      </c>
      <c r="M6" s="151">
        <v>0</v>
      </c>
    </row>
    <row r="7" spans="1:13" x14ac:dyDescent="0.2">
      <c r="A7" s="152">
        <v>6</v>
      </c>
      <c r="B7" s="151">
        <v>0</v>
      </c>
      <c r="C7" s="151">
        <v>0</v>
      </c>
      <c r="D7" s="151">
        <v>0</v>
      </c>
      <c r="E7" s="151">
        <v>0</v>
      </c>
      <c r="F7" s="151">
        <v>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1">
        <v>0</v>
      </c>
    </row>
    <row r="8" spans="1:13" x14ac:dyDescent="0.2">
      <c r="A8" s="152">
        <v>7</v>
      </c>
      <c r="B8" s="151">
        <v>0</v>
      </c>
      <c r="C8" s="151">
        <v>0</v>
      </c>
      <c r="D8" s="151">
        <v>0</v>
      </c>
      <c r="E8" s="151">
        <v>0</v>
      </c>
      <c r="F8" s="151">
        <v>0</v>
      </c>
      <c r="G8" s="151">
        <v>0</v>
      </c>
      <c r="H8" s="151">
        <v>0</v>
      </c>
      <c r="I8" s="151">
        <v>0</v>
      </c>
      <c r="J8" s="151">
        <v>3</v>
      </c>
      <c r="K8" s="151">
        <v>0</v>
      </c>
      <c r="L8" s="151">
        <v>0</v>
      </c>
      <c r="M8" s="151">
        <v>0</v>
      </c>
    </row>
    <row r="9" spans="1:13" x14ac:dyDescent="0.2">
      <c r="A9" s="152">
        <v>8</v>
      </c>
      <c r="B9" s="151">
        <v>0</v>
      </c>
      <c r="C9" s="151">
        <v>0</v>
      </c>
      <c r="D9" s="151">
        <v>0</v>
      </c>
      <c r="E9" s="151">
        <v>0</v>
      </c>
      <c r="F9" s="151">
        <v>0</v>
      </c>
      <c r="G9" s="151">
        <v>0</v>
      </c>
      <c r="H9" s="151">
        <v>3</v>
      </c>
      <c r="I9" s="100">
        <v>7</v>
      </c>
      <c r="J9" s="151">
        <v>1</v>
      </c>
      <c r="K9" s="151">
        <v>0</v>
      </c>
      <c r="L9" s="151">
        <v>0</v>
      </c>
      <c r="M9" s="151">
        <v>0</v>
      </c>
    </row>
    <row r="10" spans="1:13" x14ac:dyDescent="0.2">
      <c r="A10" s="152">
        <v>9</v>
      </c>
      <c r="B10" s="151">
        <v>0</v>
      </c>
      <c r="C10" s="151">
        <v>1</v>
      </c>
      <c r="D10" s="151">
        <v>0</v>
      </c>
      <c r="E10" s="151">
        <v>0</v>
      </c>
      <c r="F10" s="151">
        <v>0</v>
      </c>
      <c r="G10" s="151">
        <v>0</v>
      </c>
      <c r="H10" s="151">
        <v>3</v>
      </c>
      <c r="I10" s="151">
        <v>0</v>
      </c>
      <c r="J10" s="153">
        <v>1</v>
      </c>
      <c r="K10" s="151">
        <v>0</v>
      </c>
      <c r="L10" s="151">
        <v>0</v>
      </c>
      <c r="M10" s="151">
        <v>0</v>
      </c>
    </row>
    <row r="11" spans="1:13" x14ac:dyDescent="0.2">
      <c r="A11" s="154">
        <v>10</v>
      </c>
      <c r="B11" s="151">
        <v>0</v>
      </c>
      <c r="C11" s="151">
        <v>0</v>
      </c>
      <c r="D11" s="151">
        <v>0</v>
      </c>
      <c r="E11" s="151">
        <v>0</v>
      </c>
      <c r="F11" s="151">
        <v>0</v>
      </c>
      <c r="G11" s="151">
        <v>0</v>
      </c>
      <c r="H11" s="100">
        <v>7</v>
      </c>
      <c r="I11" s="151">
        <v>0</v>
      </c>
      <c r="J11" s="151">
        <v>0</v>
      </c>
      <c r="K11" s="151">
        <v>0</v>
      </c>
      <c r="L11" s="151">
        <v>0</v>
      </c>
      <c r="M11" s="151">
        <v>0</v>
      </c>
    </row>
    <row r="12" spans="1:13" x14ac:dyDescent="0.2">
      <c r="A12" s="152">
        <v>11</v>
      </c>
      <c r="B12" s="151">
        <v>0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2</v>
      </c>
      <c r="I12" s="151">
        <v>0</v>
      </c>
      <c r="J12" s="151">
        <v>2</v>
      </c>
      <c r="K12" s="151">
        <v>0</v>
      </c>
      <c r="L12" s="151">
        <v>0</v>
      </c>
      <c r="M12" s="151">
        <v>0</v>
      </c>
    </row>
    <row r="13" spans="1:13" x14ac:dyDescent="0.2">
      <c r="A13" s="155">
        <v>12</v>
      </c>
      <c r="B13" s="151">
        <v>0</v>
      </c>
      <c r="C13" s="151">
        <v>0</v>
      </c>
      <c r="D13" s="151">
        <v>0</v>
      </c>
      <c r="E13" s="151">
        <v>0</v>
      </c>
      <c r="F13" s="151">
        <v>0</v>
      </c>
      <c r="G13" s="151">
        <v>0</v>
      </c>
      <c r="H13" s="151">
        <v>0</v>
      </c>
      <c r="I13" s="151">
        <v>28</v>
      </c>
      <c r="J13" s="151">
        <v>0</v>
      </c>
      <c r="K13" s="151">
        <v>0</v>
      </c>
      <c r="L13" s="151">
        <v>5</v>
      </c>
      <c r="M13" s="151">
        <v>0</v>
      </c>
    </row>
    <row r="14" spans="1:13" x14ac:dyDescent="0.2">
      <c r="A14" s="152">
        <v>13</v>
      </c>
      <c r="B14" s="151">
        <v>0</v>
      </c>
      <c r="C14" s="151">
        <v>0</v>
      </c>
      <c r="D14" s="151">
        <v>0</v>
      </c>
      <c r="E14" s="151">
        <v>0</v>
      </c>
      <c r="F14" s="151">
        <v>0</v>
      </c>
      <c r="G14" s="151">
        <v>0</v>
      </c>
      <c r="H14" s="151">
        <v>0</v>
      </c>
      <c r="I14" s="151">
        <v>14</v>
      </c>
      <c r="J14" s="151">
        <v>0</v>
      </c>
      <c r="K14" s="151">
        <v>0</v>
      </c>
      <c r="L14" s="151">
        <v>0</v>
      </c>
      <c r="M14" s="151">
        <v>0</v>
      </c>
    </row>
    <row r="15" spans="1:13" x14ac:dyDescent="0.2">
      <c r="A15" s="155">
        <v>14</v>
      </c>
      <c r="B15" s="151">
        <v>0</v>
      </c>
      <c r="C15" s="151">
        <v>0</v>
      </c>
      <c r="D15" s="151">
        <v>0</v>
      </c>
      <c r="E15" s="151">
        <v>0</v>
      </c>
      <c r="F15" s="151">
        <v>0</v>
      </c>
      <c r="G15" s="151">
        <v>0</v>
      </c>
      <c r="H15" s="151">
        <v>0</v>
      </c>
      <c r="I15" s="151">
        <v>0</v>
      </c>
      <c r="J15" s="151">
        <v>46</v>
      </c>
      <c r="K15" s="151">
        <v>0</v>
      </c>
      <c r="L15" s="151">
        <v>0</v>
      </c>
      <c r="M15" s="151">
        <v>0</v>
      </c>
    </row>
    <row r="16" spans="1:13" x14ac:dyDescent="0.2">
      <c r="A16" s="152">
        <v>15</v>
      </c>
      <c r="B16" s="151">
        <v>0</v>
      </c>
      <c r="C16" s="151">
        <v>0</v>
      </c>
      <c r="D16" s="151">
        <v>0</v>
      </c>
      <c r="E16" s="151">
        <v>0</v>
      </c>
      <c r="F16" s="151">
        <v>0</v>
      </c>
      <c r="G16" s="151">
        <v>0</v>
      </c>
      <c r="H16" s="151">
        <v>0</v>
      </c>
      <c r="I16" s="151">
        <v>0</v>
      </c>
      <c r="J16" s="153">
        <v>12</v>
      </c>
      <c r="K16" s="151">
        <v>0</v>
      </c>
      <c r="L16" s="151">
        <v>0</v>
      </c>
      <c r="M16" s="151">
        <v>0</v>
      </c>
    </row>
    <row r="17" spans="1:13" x14ac:dyDescent="0.2">
      <c r="A17" s="152">
        <v>16</v>
      </c>
      <c r="B17" s="151">
        <v>0</v>
      </c>
      <c r="C17" s="151">
        <v>0</v>
      </c>
      <c r="D17" s="151">
        <v>0</v>
      </c>
      <c r="E17" s="151">
        <v>0</v>
      </c>
      <c r="F17" s="151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3</v>
      </c>
      <c r="M17" s="151">
        <v>0</v>
      </c>
    </row>
    <row r="18" spans="1:13" x14ac:dyDescent="0.2">
      <c r="A18" s="155">
        <v>17</v>
      </c>
      <c r="B18" s="151">
        <v>0</v>
      </c>
      <c r="C18" s="151">
        <v>0</v>
      </c>
      <c r="D18" s="151">
        <v>0</v>
      </c>
      <c r="E18" s="151">
        <v>0</v>
      </c>
      <c r="F18" s="151">
        <v>0</v>
      </c>
      <c r="G18" s="151">
        <v>0</v>
      </c>
      <c r="H18" s="151">
        <v>0</v>
      </c>
      <c r="I18" s="151">
        <v>21</v>
      </c>
      <c r="J18" s="151">
        <v>0</v>
      </c>
      <c r="K18" s="151">
        <v>0</v>
      </c>
      <c r="L18" s="100">
        <v>7</v>
      </c>
      <c r="M18" s="151">
        <v>0</v>
      </c>
    </row>
    <row r="19" spans="1:13" x14ac:dyDescent="0.2">
      <c r="A19" s="155">
        <v>18</v>
      </c>
      <c r="B19" s="151">
        <v>0</v>
      </c>
      <c r="C19" s="151">
        <v>0</v>
      </c>
      <c r="D19" s="151">
        <v>0</v>
      </c>
      <c r="E19" s="151">
        <v>0</v>
      </c>
      <c r="F19" s="151">
        <v>0</v>
      </c>
      <c r="G19" s="151">
        <v>0</v>
      </c>
      <c r="H19" s="151">
        <v>0</v>
      </c>
      <c r="I19" s="151">
        <v>16</v>
      </c>
      <c r="J19" s="151">
        <v>0</v>
      </c>
      <c r="K19" s="151">
        <v>0</v>
      </c>
      <c r="L19" s="151">
        <v>23</v>
      </c>
      <c r="M19" s="151">
        <v>0</v>
      </c>
    </row>
    <row r="20" spans="1:13" x14ac:dyDescent="0.2">
      <c r="A20" s="152">
        <v>19</v>
      </c>
      <c r="B20" s="151">
        <v>0</v>
      </c>
      <c r="C20" s="151">
        <v>0</v>
      </c>
      <c r="D20" s="151">
        <v>0</v>
      </c>
      <c r="E20" s="151">
        <v>0</v>
      </c>
      <c r="F20" s="151">
        <v>0</v>
      </c>
      <c r="G20" s="151">
        <v>0</v>
      </c>
      <c r="H20" s="151">
        <v>0</v>
      </c>
      <c r="I20" s="151">
        <v>1</v>
      </c>
      <c r="J20" s="151">
        <v>0</v>
      </c>
      <c r="K20" s="151">
        <v>0</v>
      </c>
      <c r="L20" s="151">
        <v>5</v>
      </c>
      <c r="M20" s="151">
        <v>0</v>
      </c>
    </row>
    <row r="21" spans="1:13" x14ac:dyDescent="0.2">
      <c r="A21" s="152">
        <v>20</v>
      </c>
      <c r="B21" s="151">
        <v>0</v>
      </c>
      <c r="C21" s="151">
        <v>0</v>
      </c>
      <c r="D21" s="151">
        <v>0</v>
      </c>
      <c r="E21" s="151">
        <v>0</v>
      </c>
      <c r="F21" s="151">
        <v>0</v>
      </c>
      <c r="G21" s="151">
        <v>0</v>
      </c>
      <c r="H21" s="151">
        <v>0</v>
      </c>
      <c r="I21" s="100">
        <v>14</v>
      </c>
      <c r="J21" s="151">
        <v>0</v>
      </c>
      <c r="K21" s="151">
        <v>0</v>
      </c>
      <c r="L21" s="151">
        <v>0</v>
      </c>
      <c r="M21" s="151">
        <v>0</v>
      </c>
    </row>
    <row r="22" spans="1:13" x14ac:dyDescent="0.2">
      <c r="A22" s="152">
        <v>21</v>
      </c>
      <c r="B22" s="151">
        <v>0</v>
      </c>
      <c r="C22" s="151">
        <v>0</v>
      </c>
      <c r="D22" s="151">
        <v>0</v>
      </c>
      <c r="E22" s="151">
        <v>0</v>
      </c>
      <c r="F22" s="151">
        <v>0</v>
      </c>
      <c r="G22" s="151">
        <v>0</v>
      </c>
      <c r="H22" s="151">
        <v>0</v>
      </c>
      <c r="I22" s="151">
        <v>14</v>
      </c>
      <c r="J22" s="151">
        <v>0</v>
      </c>
      <c r="K22" s="151">
        <v>0</v>
      </c>
      <c r="L22" s="151">
        <v>0</v>
      </c>
      <c r="M22" s="151">
        <v>0</v>
      </c>
    </row>
    <row r="23" spans="1:13" x14ac:dyDescent="0.2">
      <c r="A23" s="155">
        <v>22</v>
      </c>
      <c r="B23" s="151">
        <v>0</v>
      </c>
      <c r="C23" s="151">
        <v>0</v>
      </c>
      <c r="D23" s="151">
        <v>0</v>
      </c>
      <c r="E23" s="151">
        <v>0</v>
      </c>
      <c r="F23" s="151">
        <v>0</v>
      </c>
      <c r="G23" s="151">
        <v>0</v>
      </c>
      <c r="H23" s="151">
        <v>0</v>
      </c>
      <c r="I23" s="151">
        <v>0</v>
      </c>
      <c r="J23" s="151">
        <v>0</v>
      </c>
      <c r="K23" s="151">
        <v>0</v>
      </c>
      <c r="L23" s="151">
        <v>0</v>
      </c>
      <c r="M23" s="151">
        <v>0</v>
      </c>
    </row>
    <row r="24" spans="1:13" x14ac:dyDescent="0.2">
      <c r="A24" s="152">
        <v>23</v>
      </c>
      <c r="B24" s="151">
        <v>0</v>
      </c>
      <c r="C24" s="151">
        <v>2</v>
      </c>
      <c r="D24" s="151">
        <v>0</v>
      </c>
      <c r="E24" s="151">
        <v>0</v>
      </c>
      <c r="F24" s="151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00">
        <v>7</v>
      </c>
      <c r="M24" s="151">
        <v>0</v>
      </c>
    </row>
    <row r="25" spans="1:13" x14ac:dyDescent="0.2">
      <c r="A25" s="155">
        <v>24</v>
      </c>
      <c r="B25" s="151">
        <v>0</v>
      </c>
      <c r="C25" s="151">
        <v>0</v>
      </c>
      <c r="D25" s="151">
        <v>0</v>
      </c>
      <c r="E25" s="151">
        <v>0</v>
      </c>
      <c r="F25" s="151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8</v>
      </c>
      <c r="M25" s="151">
        <v>0</v>
      </c>
    </row>
    <row r="26" spans="1:13" x14ac:dyDescent="0.2">
      <c r="A26" s="152">
        <v>25</v>
      </c>
      <c r="B26" s="151">
        <v>0</v>
      </c>
      <c r="C26" s="151">
        <v>0</v>
      </c>
      <c r="D26" s="151">
        <v>0</v>
      </c>
      <c r="E26" s="151">
        <v>0</v>
      </c>
      <c r="F26" s="151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00">
        <v>10</v>
      </c>
      <c r="M26" s="151">
        <v>0</v>
      </c>
    </row>
    <row r="27" spans="1:13" x14ac:dyDescent="0.2">
      <c r="A27" s="155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33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</row>
    <row r="28" spans="1:13" x14ac:dyDescent="0.2">
      <c r="A28" s="152">
        <v>27</v>
      </c>
      <c r="B28" s="151">
        <v>0</v>
      </c>
      <c r="C28" s="151">
        <v>0</v>
      </c>
      <c r="D28" s="151">
        <v>0</v>
      </c>
      <c r="E28" s="151">
        <v>0</v>
      </c>
      <c r="F28" s="151">
        <v>0</v>
      </c>
      <c r="G28" s="151">
        <v>0</v>
      </c>
      <c r="H28" s="151">
        <v>25</v>
      </c>
      <c r="I28" s="151">
        <v>0</v>
      </c>
      <c r="J28" s="151">
        <v>0</v>
      </c>
      <c r="K28" s="151">
        <v>0</v>
      </c>
      <c r="L28" s="151">
        <v>0</v>
      </c>
      <c r="M28" s="151">
        <v>0</v>
      </c>
    </row>
    <row r="29" spans="1:13" x14ac:dyDescent="0.2">
      <c r="A29" s="155">
        <v>28</v>
      </c>
      <c r="B29" s="151">
        <v>0</v>
      </c>
      <c r="C29" s="151">
        <v>0</v>
      </c>
      <c r="D29" s="151">
        <v>0</v>
      </c>
      <c r="E29" s="151">
        <v>0</v>
      </c>
      <c r="F29" s="151">
        <v>0</v>
      </c>
      <c r="G29" s="151">
        <v>0</v>
      </c>
      <c r="H29" s="151">
        <v>5</v>
      </c>
      <c r="I29" s="151">
        <v>0</v>
      </c>
      <c r="J29" s="151">
        <v>0</v>
      </c>
      <c r="K29" s="151">
        <v>0</v>
      </c>
      <c r="L29" s="151">
        <v>0</v>
      </c>
      <c r="M29" s="151">
        <v>0</v>
      </c>
    </row>
    <row r="30" spans="1:13" x14ac:dyDescent="0.2">
      <c r="A30" s="152">
        <v>29</v>
      </c>
      <c r="B30" s="151">
        <v>0</v>
      </c>
      <c r="C30" s="46"/>
      <c r="D30" s="151">
        <v>0</v>
      </c>
      <c r="E30" s="151">
        <v>0</v>
      </c>
      <c r="F30" s="151">
        <v>0</v>
      </c>
      <c r="G30" s="151">
        <v>0</v>
      </c>
      <c r="H30" s="151">
        <v>0</v>
      </c>
      <c r="I30" s="151">
        <v>1</v>
      </c>
      <c r="J30" s="151">
        <v>0</v>
      </c>
      <c r="K30" s="151">
        <v>0</v>
      </c>
      <c r="L30" s="151">
        <v>0</v>
      </c>
      <c r="M30" s="151">
        <v>0</v>
      </c>
    </row>
    <row r="31" spans="1:13" x14ac:dyDescent="0.2">
      <c r="A31" s="152">
        <v>30</v>
      </c>
      <c r="B31" s="151">
        <v>0</v>
      </c>
      <c r="C31" s="46"/>
      <c r="D31" s="151">
        <v>0</v>
      </c>
      <c r="E31" s="151">
        <v>0</v>
      </c>
      <c r="F31" s="151">
        <v>0</v>
      </c>
      <c r="G31" s="151">
        <v>0</v>
      </c>
      <c r="H31" s="151">
        <v>0</v>
      </c>
      <c r="I31" s="151">
        <v>0</v>
      </c>
      <c r="J31" s="151">
        <v>0</v>
      </c>
      <c r="K31" s="151">
        <v>0</v>
      </c>
      <c r="L31" s="151">
        <v>0</v>
      </c>
      <c r="M31" s="100">
        <v>3.3</v>
      </c>
    </row>
    <row r="32" spans="1:13" x14ac:dyDescent="0.2">
      <c r="A32" s="152">
        <v>31</v>
      </c>
      <c r="B32" s="151">
        <v>0</v>
      </c>
      <c r="C32" s="46"/>
      <c r="D32" s="151">
        <v>0</v>
      </c>
      <c r="E32" s="46"/>
      <c r="F32" s="151">
        <v>0</v>
      </c>
      <c r="G32" s="46"/>
      <c r="H32" s="151">
        <v>7</v>
      </c>
      <c r="I32" s="151">
        <v>0</v>
      </c>
      <c r="J32" s="46"/>
      <c r="K32" s="151">
        <v>0</v>
      </c>
      <c r="L32" s="46"/>
      <c r="M32" s="151">
        <v>0</v>
      </c>
    </row>
    <row r="33" spans="1:13" ht="12.75" customHeight="1" x14ac:dyDescent="0.2">
      <c r="A33" s="14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ht="12.75" customHeight="1" x14ac:dyDescent="0.2">
      <c r="A34" s="156" t="s">
        <v>78</v>
      </c>
      <c r="B34" s="151">
        <v>0</v>
      </c>
      <c r="C34" s="100">
        <v>3</v>
      </c>
      <c r="D34" s="151">
        <v>0</v>
      </c>
      <c r="E34" s="151">
        <v>0</v>
      </c>
      <c r="F34" s="151">
        <v>0</v>
      </c>
      <c r="G34" s="151">
        <v>4</v>
      </c>
      <c r="H34" s="100">
        <v>151</v>
      </c>
      <c r="I34" s="151">
        <v>126</v>
      </c>
      <c r="J34" s="100">
        <v>150</v>
      </c>
      <c r="K34" s="151">
        <v>0</v>
      </c>
      <c r="L34" s="151">
        <v>68</v>
      </c>
      <c r="M34" s="100">
        <v>3.3</v>
      </c>
    </row>
    <row r="35" spans="1:13" ht="12.75" customHeight="1" x14ac:dyDescent="0.2">
      <c r="A35" s="156" t="s">
        <v>130</v>
      </c>
      <c r="B35" s="152">
        <v>0</v>
      </c>
      <c r="C35" s="152">
        <v>0</v>
      </c>
      <c r="D35" s="152">
        <v>0</v>
      </c>
      <c r="E35" s="152">
        <v>0</v>
      </c>
      <c r="F35" s="152">
        <v>0</v>
      </c>
      <c r="G35" s="46"/>
      <c r="H35" s="152">
        <v>9</v>
      </c>
      <c r="I35" s="152">
        <v>8</v>
      </c>
      <c r="J35" s="97">
        <v>7</v>
      </c>
      <c r="K35" s="152">
        <v>0</v>
      </c>
      <c r="L35" s="152">
        <v>8</v>
      </c>
      <c r="M35" s="4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86BA-D8FC-4CE7-B789-DA419E44CA1A}">
  <dimension ref="A1:O35"/>
  <sheetViews>
    <sheetView workbookViewId="0">
      <selection activeCell="F14" sqref="F14"/>
    </sheetView>
  </sheetViews>
  <sheetFormatPr defaultRowHeight="12.75" x14ac:dyDescent="0.2"/>
  <cols>
    <col min="1" max="1" width="21.6640625" customWidth="1"/>
  </cols>
  <sheetData>
    <row r="1" spans="1:15" ht="15" x14ac:dyDescent="0.2">
      <c r="A1" s="51" t="s">
        <v>108</v>
      </c>
      <c r="B1" s="51" t="s">
        <v>109</v>
      </c>
      <c r="C1" s="51" t="s">
        <v>110</v>
      </c>
      <c r="D1" s="51" t="s">
        <v>111</v>
      </c>
      <c r="E1" s="51" t="s">
        <v>112</v>
      </c>
      <c r="F1" s="51" t="s">
        <v>113</v>
      </c>
      <c r="G1" s="51" t="s">
        <v>114</v>
      </c>
      <c r="H1" s="51" t="s">
        <v>115</v>
      </c>
      <c r="I1" s="51" t="s">
        <v>116</v>
      </c>
      <c r="J1" s="51" t="s">
        <v>117</v>
      </c>
      <c r="K1" s="51" t="s">
        <v>118</v>
      </c>
      <c r="L1" s="51" t="s">
        <v>119</v>
      </c>
      <c r="M1" s="51" t="s">
        <v>120</v>
      </c>
      <c r="N1" s="131"/>
      <c r="O1" s="131"/>
    </row>
    <row r="2" spans="1:15" ht="15" x14ac:dyDescent="0.2">
      <c r="A2" s="105">
        <v>1</v>
      </c>
      <c r="B2" s="146">
        <v>0</v>
      </c>
      <c r="C2" s="146">
        <v>0</v>
      </c>
      <c r="D2" s="146">
        <v>0</v>
      </c>
      <c r="E2" s="146">
        <v>0</v>
      </c>
      <c r="F2" s="146">
        <v>0</v>
      </c>
      <c r="G2" s="146">
        <v>0</v>
      </c>
      <c r="H2" s="146">
        <v>0</v>
      </c>
      <c r="I2" s="146">
        <v>0</v>
      </c>
      <c r="J2" s="146">
        <v>0</v>
      </c>
      <c r="K2" s="146">
        <v>0</v>
      </c>
      <c r="L2" s="146">
        <v>0</v>
      </c>
      <c r="M2" s="146">
        <v>0</v>
      </c>
      <c r="N2" s="135"/>
      <c r="O2" s="135"/>
    </row>
    <row r="3" spans="1:15" ht="15" x14ac:dyDescent="0.2">
      <c r="A3" s="147">
        <v>2</v>
      </c>
      <c r="B3" s="146">
        <v>0</v>
      </c>
      <c r="C3" s="146">
        <v>0</v>
      </c>
      <c r="D3" s="146">
        <v>0</v>
      </c>
      <c r="E3" s="146">
        <v>0</v>
      </c>
      <c r="F3" s="146">
        <v>0</v>
      </c>
      <c r="G3" s="146">
        <v>0</v>
      </c>
      <c r="H3" s="106">
        <v>4</v>
      </c>
      <c r="I3" s="146">
        <v>0</v>
      </c>
      <c r="J3" s="157">
        <v>4</v>
      </c>
      <c r="K3" s="146">
        <v>0</v>
      </c>
      <c r="L3" s="146">
        <v>0</v>
      </c>
      <c r="M3" s="146">
        <v>0</v>
      </c>
      <c r="N3" s="133"/>
      <c r="O3" s="133"/>
    </row>
    <row r="4" spans="1:15" ht="14.25" x14ac:dyDescent="0.2">
      <c r="A4" s="147">
        <v>3</v>
      </c>
      <c r="B4" s="146">
        <v>0</v>
      </c>
      <c r="C4" s="146">
        <v>0</v>
      </c>
      <c r="D4" s="146">
        <v>0</v>
      </c>
      <c r="E4" s="146">
        <v>0</v>
      </c>
      <c r="F4" s="146">
        <v>0</v>
      </c>
      <c r="G4" s="146">
        <v>0</v>
      </c>
      <c r="H4" s="146">
        <v>0</v>
      </c>
      <c r="I4" s="146">
        <v>0</v>
      </c>
      <c r="J4" s="146">
        <v>2</v>
      </c>
      <c r="K4" s="146">
        <v>0</v>
      </c>
      <c r="L4" s="146">
        <v>0</v>
      </c>
      <c r="M4" s="146">
        <v>0</v>
      </c>
      <c r="N4" s="133"/>
      <c r="O4" s="133"/>
    </row>
    <row r="5" spans="1:15" ht="15" x14ac:dyDescent="0.2">
      <c r="A5" s="105">
        <v>4</v>
      </c>
      <c r="B5" s="146">
        <v>0</v>
      </c>
      <c r="C5" s="146">
        <v>0</v>
      </c>
      <c r="D5" s="146">
        <v>0</v>
      </c>
      <c r="E5" s="146">
        <v>0</v>
      </c>
      <c r="F5" s="146">
        <v>0</v>
      </c>
      <c r="G5" s="146">
        <v>0</v>
      </c>
      <c r="H5" s="146">
        <v>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33"/>
      <c r="O5" s="133"/>
    </row>
    <row r="6" spans="1:15" ht="14.25" x14ac:dyDescent="0.2">
      <c r="A6" s="147">
        <v>5</v>
      </c>
      <c r="B6" s="146">
        <v>0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0</v>
      </c>
      <c r="I6" s="146">
        <v>0</v>
      </c>
      <c r="J6" s="146">
        <v>0</v>
      </c>
      <c r="K6" s="101">
        <v>5</v>
      </c>
      <c r="L6" s="146">
        <v>0</v>
      </c>
      <c r="M6" s="146">
        <v>0</v>
      </c>
      <c r="N6" s="133"/>
      <c r="O6" s="133"/>
    </row>
    <row r="7" spans="1:15" ht="14.25" x14ac:dyDescent="0.2">
      <c r="A7" s="147">
        <v>6</v>
      </c>
      <c r="B7" s="146">
        <v>0</v>
      </c>
      <c r="C7" s="146">
        <v>0</v>
      </c>
      <c r="D7" s="146">
        <v>0</v>
      </c>
      <c r="E7" s="146">
        <v>0</v>
      </c>
      <c r="F7" s="146">
        <v>0</v>
      </c>
      <c r="G7" s="146">
        <v>0</v>
      </c>
      <c r="H7" s="146">
        <v>0</v>
      </c>
      <c r="I7" s="146">
        <v>0</v>
      </c>
      <c r="J7" s="146">
        <v>0</v>
      </c>
      <c r="K7" s="146">
        <v>0</v>
      </c>
      <c r="L7" s="146">
        <v>0</v>
      </c>
      <c r="M7" s="146">
        <v>0</v>
      </c>
      <c r="N7" s="133"/>
      <c r="O7" s="133"/>
    </row>
    <row r="8" spans="1:15" ht="14.25" x14ac:dyDescent="0.2">
      <c r="A8" s="147">
        <v>7</v>
      </c>
      <c r="B8" s="146">
        <v>0</v>
      </c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0</v>
      </c>
      <c r="K8" s="146">
        <v>0</v>
      </c>
      <c r="L8" s="146">
        <v>0</v>
      </c>
      <c r="M8" s="146">
        <v>0</v>
      </c>
      <c r="N8" s="133"/>
      <c r="O8" s="133"/>
    </row>
    <row r="9" spans="1:15" ht="14.25" x14ac:dyDescent="0.2">
      <c r="A9" s="147">
        <v>8</v>
      </c>
      <c r="B9" s="146">
        <v>0</v>
      </c>
      <c r="C9" s="146">
        <v>0</v>
      </c>
      <c r="D9" s="146">
        <v>0</v>
      </c>
      <c r="E9" s="146">
        <v>0</v>
      </c>
      <c r="F9" s="146">
        <v>0</v>
      </c>
      <c r="G9" s="146">
        <v>0</v>
      </c>
      <c r="H9" s="146">
        <v>0</v>
      </c>
      <c r="I9" s="146">
        <v>0</v>
      </c>
      <c r="J9" s="146">
        <v>0</v>
      </c>
      <c r="K9" s="146">
        <v>0</v>
      </c>
      <c r="L9" s="146">
        <v>0</v>
      </c>
      <c r="M9" s="146">
        <v>0</v>
      </c>
      <c r="N9" s="133"/>
      <c r="O9" s="133"/>
    </row>
    <row r="10" spans="1:15" ht="14.25" x14ac:dyDescent="0.2">
      <c r="A10" s="147">
        <v>9</v>
      </c>
      <c r="B10" s="146">
        <v>0</v>
      </c>
      <c r="C10" s="146">
        <v>0</v>
      </c>
      <c r="D10" s="146">
        <v>0</v>
      </c>
      <c r="E10" s="146">
        <v>0</v>
      </c>
      <c r="F10" s="146">
        <v>0</v>
      </c>
      <c r="G10" s="146">
        <v>0</v>
      </c>
      <c r="H10" s="146">
        <v>0</v>
      </c>
      <c r="I10" s="146">
        <v>0</v>
      </c>
      <c r="J10" s="146">
        <v>0</v>
      </c>
      <c r="K10" s="146">
        <v>0</v>
      </c>
      <c r="L10" s="146">
        <v>0</v>
      </c>
      <c r="M10" s="146">
        <v>0</v>
      </c>
      <c r="N10" s="133"/>
      <c r="O10" s="133"/>
    </row>
    <row r="11" spans="1:15" ht="14.25" x14ac:dyDescent="0.2">
      <c r="A11" s="147">
        <v>10</v>
      </c>
      <c r="B11" s="146">
        <v>0</v>
      </c>
      <c r="C11" s="146">
        <v>0</v>
      </c>
      <c r="D11" s="146">
        <v>0</v>
      </c>
      <c r="E11" s="146">
        <v>0</v>
      </c>
      <c r="F11" s="146">
        <v>0</v>
      </c>
      <c r="G11" s="146">
        <v>0</v>
      </c>
      <c r="H11" s="146">
        <v>0</v>
      </c>
      <c r="I11" s="146">
        <v>0</v>
      </c>
      <c r="J11" s="146">
        <v>26</v>
      </c>
      <c r="K11" s="146">
        <v>0</v>
      </c>
      <c r="L11" s="146">
        <v>0</v>
      </c>
      <c r="M11" s="146">
        <v>0</v>
      </c>
      <c r="N11" s="133"/>
      <c r="O11" s="133"/>
    </row>
    <row r="12" spans="1:15" ht="15" x14ac:dyDescent="0.2">
      <c r="A12" s="147">
        <v>11</v>
      </c>
      <c r="B12" s="146">
        <v>0</v>
      </c>
      <c r="C12" s="146">
        <v>0</v>
      </c>
      <c r="D12" s="146">
        <v>0</v>
      </c>
      <c r="E12" s="146">
        <v>0</v>
      </c>
      <c r="F12" s="146">
        <v>0</v>
      </c>
      <c r="G12" s="146">
        <v>0</v>
      </c>
      <c r="H12" s="146">
        <v>0</v>
      </c>
      <c r="I12" s="146">
        <v>10</v>
      </c>
      <c r="J12" s="157">
        <v>4</v>
      </c>
      <c r="K12" s="146">
        <v>0</v>
      </c>
      <c r="L12" s="146">
        <v>0</v>
      </c>
      <c r="M12" s="146">
        <v>0</v>
      </c>
      <c r="N12" s="133"/>
      <c r="O12" s="133"/>
    </row>
    <row r="13" spans="1:15" ht="15" x14ac:dyDescent="0.2">
      <c r="A13" s="158">
        <v>12</v>
      </c>
      <c r="B13" s="146">
        <v>0</v>
      </c>
      <c r="C13" s="146">
        <v>0</v>
      </c>
      <c r="D13" s="146">
        <v>0</v>
      </c>
      <c r="E13" s="146">
        <v>0</v>
      </c>
      <c r="F13" s="146">
        <v>0</v>
      </c>
      <c r="G13" s="146">
        <v>0</v>
      </c>
      <c r="H13" s="146">
        <v>0</v>
      </c>
      <c r="I13" s="146">
        <v>6</v>
      </c>
      <c r="J13" s="146">
        <v>0</v>
      </c>
      <c r="K13" s="146">
        <v>0</v>
      </c>
      <c r="L13" s="146">
        <v>3</v>
      </c>
      <c r="M13" s="146">
        <v>0</v>
      </c>
      <c r="N13" s="133"/>
      <c r="O13" s="133"/>
    </row>
    <row r="14" spans="1:15" ht="15" x14ac:dyDescent="0.2">
      <c r="A14" s="147">
        <v>13</v>
      </c>
      <c r="B14" s="146">
        <v>0</v>
      </c>
      <c r="C14" s="146">
        <v>0</v>
      </c>
      <c r="D14" s="146">
        <v>0</v>
      </c>
      <c r="E14" s="146">
        <v>0</v>
      </c>
      <c r="F14" s="146">
        <v>0</v>
      </c>
      <c r="G14" s="146">
        <v>9</v>
      </c>
      <c r="H14" s="146">
        <v>0</v>
      </c>
      <c r="I14" s="146">
        <v>10</v>
      </c>
      <c r="J14" s="146">
        <v>0</v>
      </c>
      <c r="K14" s="146">
        <v>0</v>
      </c>
      <c r="L14" s="157">
        <v>48</v>
      </c>
      <c r="M14" s="146">
        <v>0</v>
      </c>
      <c r="N14" s="133"/>
      <c r="O14" s="133"/>
    </row>
    <row r="15" spans="1:15" ht="15" x14ac:dyDescent="0.2">
      <c r="A15" s="158">
        <v>14</v>
      </c>
      <c r="B15" s="146">
        <v>0</v>
      </c>
      <c r="C15" s="146">
        <v>0</v>
      </c>
      <c r="D15" s="146">
        <v>0</v>
      </c>
      <c r="E15" s="146">
        <v>0</v>
      </c>
      <c r="F15" s="146">
        <v>0</v>
      </c>
      <c r="G15" s="146">
        <v>0</v>
      </c>
      <c r="H15" s="146">
        <v>29</v>
      </c>
      <c r="I15" s="101">
        <v>2</v>
      </c>
      <c r="J15" s="146">
        <v>0</v>
      </c>
      <c r="K15" s="146">
        <v>0</v>
      </c>
      <c r="L15" s="146">
        <v>1</v>
      </c>
      <c r="M15" s="146">
        <v>0</v>
      </c>
      <c r="N15" s="133"/>
      <c r="O15" s="133"/>
    </row>
    <row r="16" spans="1:15" ht="14.25" x14ac:dyDescent="0.2">
      <c r="A16" s="147">
        <v>15</v>
      </c>
      <c r="B16" s="146">
        <v>0</v>
      </c>
      <c r="C16" s="146">
        <v>0</v>
      </c>
      <c r="D16" s="146">
        <v>0</v>
      </c>
      <c r="E16" s="146">
        <v>0</v>
      </c>
      <c r="F16" s="146">
        <v>0</v>
      </c>
      <c r="G16" s="146">
        <v>0</v>
      </c>
      <c r="H16" s="146">
        <v>0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133"/>
      <c r="O16" s="133"/>
    </row>
    <row r="17" spans="1:15" ht="14.25" x14ac:dyDescent="0.2">
      <c r="A17" s="147">
        <v>16</v>
      </c>
      <c r="B17" s="146">
        <v>0</v>
      </c>
      <c r="C17" s="146">
        <v>0</v>
      </c>
      <c r="D17" s="146">
        <v>0</v>
      </c>
      <c r="E17" s="146">
        <v>0</v>
      </c>
      <c r="F17" s="146">
        <v>0</v>
      </c>
      <c r="G17" s="146">
        <v>0</v>
      </c>
      <c r="H17" s="146">
        <v>20</v>
      </c>
      <c r="I17" s="101">
        <v>14</v>
      </c>
      <c r="J17" s="146">
        <v>0</v>
      </c>
      <c r="K17" s="146">
        <v>0</v>
      </c>
      <c r="L17" s="146">
        <v>0</v>
      </c>
      <c r="M17" s="146">
        <v>0</v>
      </c>
      <c r="N17" s="133"/>
      <c r="O17" s="133"/>
    </row>
    <row r="18" spans="1:15" ht="15" x14ac:dyDescent="0.2">
      <c r="A18" s="158">
        <v>17</v>
      </c>
      <c r="B18" s="146">
        <v>0</v>
      </c>
      <c r="C18" s="146">
        <v>0</v>
      </c>
      <c r="D18" s="146">
        <v>0</v>
      </c>
      <c r="E18" s="146">
        <v>0</v>
      </c>
      <c r="F18" s="146">
        <v>0</v>
      </c>
      <c r="G18" s="146">
        <v>6</v>
      </c>
      <c r="H18" s="146">
        <v>13</v>
      </c>
      <c r="I18" s="146">
        <v>5</v>
      </c>
      <c r="J18" s="146">
        <v>0</v>
      </c>
      <c r="K18" s="146">
        <v>0</v>
      </c>
      <c r="L18" s="146">
        <v>2</v>
      </c>
      <c r="M18" s="146">
        <v>0</v>
      </c>
      <c r="N18" s="133"/>
      <c r="O18" s="133"/>
    </row>
    <row r="19" spans="1:15" ht="15" x14ac:dyDescent="0.2">
      <c r="A19" s="158">
        <v>18</v>
      </c>
      <c r="B19" s="146">
        <v>0</v>
      </c>
      <c r="C19" s="146">
        <v>0</v>
      </c>
      <c r="D19" s="146">
        <v>0</v>
      </c>
      <c r="E19" s="146">
        <v>0</v>
      </c>
      <c r="F19" s="146">
        <v>0</v>
      </c>
      <c r="G19" s="146">
        <v>0</v>
      </c>
      <c r="H19" s="106">
        <v>42</v>
      </c>
      <c r="I19" s="146">
        <v>0</v>
      </c>
      <c r="J19" s="146">
        <v>0</v>
      </c>
      <c r="K19" s="146">
        <v>0</v>
      </c>
      <c r="L19" s="146">
        <v>0</v>
      </c>
      <c r="M19" s="146">
        <v>0</v>
      </c>
      <c r="N19" s="133"/>
      <c r="O19" s="133"/>
    </row>
    <row r="20" spans="1:15" ht="14.25" x14ac:dyDescent="0.2">
      <c r="A20" s="147">
        <v>19</v>
      </c>
      <c r="B20" s="146">
        <v>0</v>
      </c>
      <c r="C20" s="146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133"/>
      <c r="O20" s="133"/>
    </row>
    <row r="21" spans="1:15" ht="14.25" x14ac:dyDescent="0.2">
      <c r="A21" s="147">
        <v>20</v>
      </c>
      <c r="B21" s="146">
        <v>0</v>
      </c>
      <c r="C21" s="146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0</v>
      </c>
      <c r="I21" s="146">
        <v>0</v>
      </c>
      <c r="J21" s="146">
        <v>0</v>
      </c>
      <c r="K21" s="146">
        <v>0</v>
      </c>
      <c r="L21" s="146">
        <v>0</v>
      </c>
      <c r="M21" s="146">
        <v>0</v>
      </c>
      <c r="N21" s="133"/>
      <c r="O21" s="133"/>
    </row>
    <row r="22" spans="1:15" ht="14.25" x14ac:dyDescent="0.2">
      <c r="A22" s="147">
        <v>21</v>
      </c>
      <c r="B22" s="146">
        <v>0</v>
      </c>
      <c r="C22" s="146">
        <v>0</v>
      </c>
      <c r="D22" s="146">
        <v>0</v>
      </c>
      <c r="E22" s="146">
        <v>0</v>
      </c>
      <c r="F22" s="146">
        <v>0</v>
      </c>
      <c r="G22" s="146">
        <v>0</v>
      </c>
      <c r="H22" s="146">
        <v>27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  <c r="N22" s="133"/>
      <c r="O22" s="133"/>
    </row>
    <row r="23" spans="1:15" ht="15" x14ac:dyDescent="0.2">
      <c r="A23" s="158">
        <v>22</v>
      </c>
      <c r="B23" s="146">
        <v>0</v>
      </c>
      <c r="C23" s="146">
        <v>0</v>
      </c>
      <c r="D23" s="146">
        <v>0</v>
      </c>
      <c r="E23" s="146">
        <v>0</v>
      </c>
      <c r="F23" s="146">
        <v>0</v>
      </c>
      <c r="G23" s="146">
        <v>0</v>
      </c>
      <c r="H23" s="146">
        <v>8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  <c r="N23" s="133"/>
      <c r="O23" s="133"/>
    </row>
    <row r="24" spans="1:15" ht="14.25" x14ac:dyDescent="0.2">
      <c r="A24" s="147">
        <v>23</v>
      </c>
      <c r="B24" s="146">
        <v>0</v>
      </c>
      <c r="C24" s="146">
        <v>0</v>
      </c>
      <c r="D24" s="146">
        <v>0</v>
      </c>
      <c r="E24" s="146">
        <v>0</v>
      </c>
      <c r="F24" s="146">
        <v>0</v>
      </c>
      <c r="G24" s="146">
        <v>0</v>
      </c>
      <c r="H24" s="146">
        <v>0</v>
      </c>
      <c r="I24" s="146">
        <v>0</v>
      </c>
      <c r="J24" s="146">
        <v>0</v>
      </c>
      <c r="K24" s="146">
        <v>0</v>
      </c>
      <c r="L24" s="146">
        <v>0</v>
      </c>
      <c r="M24" s="146">
        <v>0</v>
      </c>
      <c r="N24" s="133"/>
      <c r="O24" s="133"/>
    </row>
    <row r="25" spans="1:15" ht="15" x14ac:dyDescent="0.2">
      <c r="A25" s="158">
        <v>24</v>
      </c>
      <c r="B25" s="146">
        <v>0</v>
      </c>
      <c r="C25" s="146">
        <v>0</v>
      </c>
      <c r="D25" s="146">
        <v>0</v>
      </c>
      <c r="E25" s="146">
        <v>0</v>
      </c>
      <c r="F25" s="146">
        <v>0</v>
      </c>
      <c r="G25" s="146">
        <v>0</v>
      </c>
      <c r="H25" s="146">
        <v>0</v>
      </c>
      <c r="I25" s="146">
        <v>0</v>
      </c>
      <c r="J25" s="146">
        <v>0</v>
      </c>
      <c r="K25" s="146">
        <v>0</v>
      </c>
      <c r="L25" s="146">
        <v>0</v>
      </c>
      <c r="M25" s="146">
        <v>0</v>
      </c>
      <c r="N25" s="133"/>
      <c r="O25" s="133"/>
    </row>
    <row r="26" spans="1:15" ht="14.25" x14ac:dyDescent="0.2">
      <c r="A26" s="147">
        <v>25</v>
      </c>
      <c r="B26" s="146">
        <v>0</v>
      </c>
      <c r="C26" s="146">
        <v>0</v>
      </c>
      <c r="D26" s="146">
        <v>0</v>
      </c>
      <c r="E26" s="146">
        <v>0</v>
      </c>
      <c r="F26" s="146">
        <v>0</v>
      </c>
      <c r="G26" s="146">
        <v>0</v>
      </c>
      <c r="H26" s="146">
        <v>0</v>
      </c>
      <c r="I26" s="146">
        <v>6</v>
      </c>
      <c r="J26" s="146">
        <v>0</v>
      </c>
      <c r="K26" s="146">
        <v>0</v>
      </c>
      <c r="L26" s="146">
        <v>0</v>
      </c>
      <c r="M26" s="146">
        <v>0</v>
      </c>
      <c r="N26" s="133"/>
      <c r="O26" s="133"/>
    </row>
    <row r="27" spans="1:15" ht="15" x14ac:dyDescent="0.2">
      <c r="A27" s="158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33"/>
      <c r="O27" s="133"/>
    </row>
    <row r="28" spans="1:15" ht="14.25" x14ac:dyDescent="0.2">
      <c r="A28" s="147">
        <v>27</v>
      </c>
      <c r="B28" s="146">
        <v>0</v>
      </c>
      <c r="C28" s="146">
        <v>0</v>
      </c>
      <c r="D28" s="146">
        <v>0</v>
      </c>
      <c r="E28" s="146">
        <v>0</v>
      </c>
      <c r="F28" s="146">
        <v>0</v>
      </c>
      <c r="G28" s="146">
        <v>10</v>
      </c>
      <c r="H28" s="146">
        <v>0</v>
      </c>
      <c r="I28" s="146">
        <v>34</v>
      </c>
      <c r="J28" s="146">
        <v>0</v>
      </c>
      <c r="K28" s="146">
        <v>0</v>
      </c>
      <c r="L28" s="146">
        <v>0</v>
      </c>
      <c r="M28" s="146">
        <v>0</v>
      </c>
      <c r="N28" s="133"/>
      <c r="O28" s="133"/>
    </row>
    <row r="29" spans="1:15" ht="15" x14ac:dyDescent="0.2">
      <c r="A29" s="158">
        <v>28</v>
      </c>
      <c r="B29" s="146">
        <v>0</v>
      </c>
      <c r="C29" s="146">
        <v>0</v>
      </c>
      <c r="D29" s="146">
        <v>0</v>
      </c>
      <c r="E29" s="146">
        <v>0</v>
      </c>
      <c r="F29" s="146">
        <v>0</v>
      </c>
      <c r="G29" s="101">
        <v>1</v>
      </c>
      <c r="H29" s="146">
        <v>0</v>
      </c>
      <c r="I29" s="101">
        <v>2</v>
      </c>
      <c r="J29" s="146">
        <v>0</v>
      </c>
      <c r="K29" s="146">
        <v>0</v>
      </c>
      <c r="L29" s="146">
        <v>0</v>
      </c>
      <c r="M29" s="146">
        <v>0</v>
      </c>
      <c r="N29" s="133"/>
      <c r="O29" s="133"/>
    </row>
    <row r="30" spans="1:15" ht="14.25" x14ac:dyDescent="0.2">
      <c r="A30" s="147">
        <v>29</v>
      </c>
      <c r="B30" s="146">
        <v>0</v>
      </c>
      <c r="C30" s="80"/>
      <c r="D30" s="146">
        <v>0</v>
      </c>
      <c r="E30" s="146">
        <v>0</v>
      </c>
      <c r="F30" s="146">
        <v>0</v>
      </c>
      <c r="G30" s="146">
        <v>0</v>
      </c>
      <c r="H30" s="146">
        <v>0</v>
      </c>
      <c r="I30" s="146">
        <v>21</v>
      </c>
      <c r="J30" s="146">
        <v>0</v>
      </c>
      <c r="K30" s="146">
        <v>0</v>
      </c>
      <c r="L30" s="146">
        <v>0</v>
      </c>
      <c r="M30" s="146">
        <v>0</v>
      </c>
      <c r="N30" s="133"/>
      <c r="O30" s="133"/>
    </row>
    <row r="31" spans="1:15" ht="14.25" x14ac:dyDescent="0.2">
      <c r="A31" s="147">
        <v>30</v>
      </c>
      <c r="B31" s="146">
        <v>0</v>
      </c>
      <c r="C31" s="80"/>
      <c r="D31" s="146">
        <v>0</v>
      </c>
      <c r="E31" s="146">
        <v>0</v>
      </c>
      <c r="F31" s="146">
        <v>0</v>
      </c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133"/>
      <c r="O31" s="133"/>
    </row>
    <row r="32" spans="1:15" ht="14.25" x14ac:dyDescent="0.2">
      <c r="A32" s="147">
        <v>31</v>
      </c>
      <c r="B32" s="146">
        <v>0</v>
      </c>
      <c r="C32" s="80"/>
      <c r="D32" s="146">
        <v>0</v>
      </c>
      <c r="E32" s="80"/>
      <c r="F32" s="146">
        <v>0</v>
      </c>
      <c r="G32" s="80"/>
      <c r="H32" s="146">
        <v>0</v>
      </c>
      <c r="I32" s="146">
        <v>0</v>
      </c>
      <c r="J32" s="80"/>
      <c r="K32" s="146">
        <v>0</v>
      </c>
      <c r="L32" s="80"/>
      <c r="M32" s="146">
        <v>0</v>
      </c>
      <c r="N32" s="134"/>
      <c r="O32" s="134"/>
    </row>
    <row r="33" spans="1:15" ht="12.75" customHeight="1" x14ac:dyDescent="0.2">
      <c r="A33" s="51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103"/>
      <c r="O33" s="103"/>
    </row>
    <row r="34" spans="1:15" ht="12.75" customHeight="1" x14ac:dyDescent="0.2">
      <c r="A34" s="156" t="s">
        <v>78</v>
      </c>
      <c r="B34" s="146">
        <v>0</v>
      </c>
      <c r="C34" s="146">
        <v>0</v>
      </c>
      <c r="D34" s="146">
        <v>0</v>
      </c>
      <c r="E34" s="146">
        <v>0</v>
      </c>
      <c r="F34" s="146">
        <v>0</v>
      </c>
      <c r="G34" s="101">
        <v>26</v>
      </c>
      <c r="H34" s="101">
        <v>143</v>
      </c>
      <c r="I34" s="146">
        <v>110</v>
      </c>
      <c r="J34" s="146">
        <v>36</v>
      </c>
      <c r="K34" s="146">
        <v>5</v>
      </c>
      <c r="L34" s="146">
        <v>54</v>
      </c>
      <c r="M34" s="146">
        <v>0</v>
      </c>
      <c r="N34" s="133"/>
      <c r="O34" s="133"/>
    </row>
    <row r="35" spans="1:15" ht="12.75" customHeight="1" x14ac:dyDescent="0.2">
      <c r="A35" s="156" t="s">
        <v>130</v>
      </c>
      <c r="B35" s="147">
        <v>0</v>
      </c>
      <c r="C35" s="147">
        <v>0</v>
      </c>
      <c r="D35" s="147">
        <v>0</v>
      </c>
      <c r="E35" s="147">
        <v>0</v>
      </c>
      <c r="F35" s="147">
        <v>0</v>
      </c>
      <c r="G35" s="102">
        <v>3</v>
      </c>
      <c r="H35" s="102">
        <v>7</v>
      </c>
      <c r="I35" s="147">
        <v>8</v>
      </c>
      <c r="J35" s="147">
        <v>3</v>
      </c>
      <c r="K35" s="80"/>
      <c r="L35" s="147">
        <v>2</v>
      </c>
      <c r="M35" s="147">
        <v>0</v>
      </c>
      <c r="N35" s="132"/>
      <c r="O35" s="13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9089-550C-4DE4-9473-133D6F97A603}">
  <dimension ref="A1:M35"/>
  <sheetViews>
    <sheetView workbookViewId="0">
      <selection activeCell="R29" sqref="R29"/>
    </sheetView>
  </sheetViews>
  <sheetFormatPr defaultRowHeight="12.75" x14ac:dyDescent="0.2"/>
  <cols>
    <col min="1" max="1" width="26" customWidth="1"/>
  </cols>
  <sheetData>
    <row r="1" spans="1:13" ht="15" x14ac:dyDescent="0.2">
      <c r="A1" s="51" t="s">
        <v>63</v>
      </c>
      <c r="B1" s="51" t="s">
        <v>52</v>
      </c>
      <c r="C1" s="51" t="s">
        <v>107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80"/>
      <c r="B2" s="29">
        <v>0</v>
      </c>
      <c r="C2" s="29">
        <v>0</v>
      </c>
      <c r="D2" s="29">
        <v>10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4</v>
      </c>
      <c r="J3" s="29">
        <v>23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14</v>
      </c>
      <c r="I4" s="126">
        <v>19</v>
      </c>
      <c r="J4" s="29">
        <v>0</v>
      </c>
      <c r="K4" s="29">
        <v>0</v>
      </c>
      <c r="L4" s="29">
        <v>0</v>
      </c>
      <c r="M4" s="29">
        <v>0</v>
      </c>
    </row>
    <row r="5" spans="1:13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8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2</v>
      </c>
      <c r="G6" s="29">
        <v>0</v>
      </c>
      <c r="H6" s="29">
        <v>23</v>
      </c>
      <c r="I6" s="29">
        <v>96</v>
      </c>
      <c r="J6" s="29">
        <v>0</v>
      </c>
      <c r="K6" s="29">
        <v>0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1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</row>
    <row r="8" spans="1:13" ht="14.25" x14ac:dyDescent="0.2">
      <c r="A8" s="127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12</v>
      </c>
      <c r="I8" s="29">
        <v>0</v>
      </c>
      <c r="J8" s="126">
        <v>1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126">
        <v>7</v>
      </c>
      <c r="I9" s="29">
        <v>0</v>
      </c>
      <c r="J9" s="126">
        <v>41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30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</row>
    <row r="11" spans="1:13" ht="14.25" x14ac:dyDescent="0.2">
      <c r="A11" s="31">
        <v>10</v>
      </c>
      <c r="B11" s="29">
        <v>0</v>
      </c>
      <c r="C11" s="29">
        <v>8</v>
      </c>
      <c r="D11" s="29">
        <v>0</v>
      </c>
      <c r="E11" s="29">
        <v>0</v>
      </c>
      <c r="F11" s="29">
        <v>0</v>
      </c>
      <c r="G11" s="29">
        <v>0</v>
      </c>
      <c r="H11" s="29">
        <v>1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126">
        <v>10</v>
      </c>
      <c r="D12" s="29">
        <v>0</v>
      </c>
      <c r="E12" s="29">
        <v>0</v>
      </c>
      <c r="F12" s="29">
        <v>0</v>
      </c>
      <c r="G12" s="29">
        <v>0</v>
      </c>
      <c r="H12" s="29">
        <v>1</v>
      </c>
      <c r="I12" s="29">
        <v>0</v>
      </c>
      <c r="J12" s="29">
        <v>26</v>
      </c>
      <c r="K12" s="29">
        <v>0</v>
      </c>
      <c r="L12" s="29">
        <v>0</v>
      </c>
      <c r="M12" s="29">
        <v>0</v>
      </c>
    </row>
    <row r="13" spans="1:13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8</v>
      </c>
      <c r="I13" s="29">
        <v>0</v>
      </c>
      <c r="J13" s="126">
        <v>3</v>
      </c>
      <c r="K13" s="29">
        <v>0</v>
      </c>
      <c r="L13" s="29">
        <v>0</v>
      </c>
      <c r="M13" s="29">
        <v>0</v>
      </c>
    </row>
    <row r="14" spans="1:13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</row>
    <row r="15" spans="1:13" ht="14.25" x14ac:dyDescent="0.2">
      <c r="A15" s="31">
        <v>14</v>
      </c>
      <c r="B15" s="29">
        <v>0</v>
      </c>
      <c r="C15" s="29">
        <v>1</v>
      </c>
      <c r="D15" s="29">
        <v>0</v>
      </c>
      <c r="E15" s="29">
        <v>0</v>
      </c>
      <c r="F15" s="29">
        <v>0</v>
      </c>
      <c r="G15" s="29">
        <v>0</v>
      </c>
      <c r="H15" s="29">
        <v>2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</row>
    <row r="16" spans="1:13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</row>
    <row r="18" spans="1:13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23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</row>
    <row r="19" spans="1:13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2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</row>
    <row r="22" spans="1:13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14</v>
      </c>
      <c r="J22" s="29">
        <v>0</v>
      </c>
      <c r="K22" s="29">
        <v>0</v>
      </c>
      <c r="L22" s="29">
        <v>0</v>
      </c>
      <c r="M22" s="29">
        <v>0</v>
      </c>
    </row>
    <row r="23" spans="1:13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17</v>
      </c>
      <c r="J23" s="29">
        <v>5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126">
        <v>12</v>
      </c>
      <c r="J24" s="29">
        <v>0</v>
      </c>
      <c r="K24" s="29">
        <v>0</v>
      </c>
      <c r="L24" s="29">
        <v>0</v>
      </c>
      <c r="M24" s="29">
        <v>0</v>
      </c>
    </row>
    <row r="25" spans="1:13" ht="14.25" x14ac:dyDescent="0.2">
      <c r="A25" s="31">
        <v>24</v>
      </c>
      <c r="B25" s="29">
        <v>0</v>
      </c>
      <c r="C25" s="29">
        <v>6</v>
      </c>
      <c r="D25" s="29">
        <v>0</v>
      </c>
      <c r="E25" s="29">
        <v>0</v>
      </c>
      <c r="F25" s="29">
        <v>0</v>
      </c>
      <c r="G25" s="29">
        <v>0</v>
      </c>
      <c r="H25" s="29">
        <v>12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</row>
    <row r="26" spans="1:13" ht="14.25" x14ac:dyDescent="0.2">
      <c r="A26" s="31">
        <v>25</v>
      </c>
      <c r="B26" s="29">
        <v>0</v>
      </c>
      <c r="C26" s="29">
        <v>16</v>
      </c>
      <c r="D26" s="29">
        <v>0</v>
      </c>
      <c r="E26" s="29">
        <v>0</v>
      </c>
      <c r="F26" s="29">
        <v>0</v>
      </c>
      <c r="G26" s="29">
        <v>3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2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</row>
    <row r="28" spans="1:13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29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36</v>
      </c>
      <c r="H30" s="29">
        <v>0</v>
      </c>
      <c r="I30" s="29">
        <v>6</v>
      </c>
      <c r="J30" s="29">
        <v>0</v>
      </c>
      <c r="K30" s="29">
        <v>0</v>
      </c>
      <c r="L30" s="29">
        <v>0</v>
      </c>
      <c r="M30" s="29">
        <v>0</v>
      </c>
    </row>
    <row r="31" spans="1:13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18</v>
      </c>
      <c r="J31" s="29">
        <v>0</v>
      </c>
      <c r="K31" s="29">
        <v>0</v>
      </c>
      <c r="L31" s="29">
        <v>0</v>
      </c>
      <c r="M31" s="29">
        <v>0</v>
      </c>
    </row>
    <row r="32" spans="1:13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</row>
    <row r="33" spans="1:13" x14ac:dyDescent="0.2">
      <c r="A33" s="136"/>
      <c r="B33" s="87"/>
      <c r="C33" s="42"/>
      <c r="D33" s="87"/>
      <c r="E33" s="42"/>
      <c r="F33" s="87"/>
      <c r="G33" s="42"/>
      <c r="H33" s="87"/>
      <c r="I33" s="87"/>
      <c r="J33" s="42"/>
      <c r="K33" s="87"/>
      <c r="L33" s="42"/>
      <c r="M33" s="87"/>
    </row>
    <row r="34" spans="1:13" ht="12.75" customHeight="1" x14ac:dyDescent="0.2">
      <c r="A34" s="47" t="s">
        <v>101</v>
      </c>
      <c r="B34" s="29">
        <v>0</v>
      </c>
      <c r="C34" s="29">
        <v>41</v>
      </c>
      <c r="D34" s="29">
        <v>10</v>
      </c>
      <c r="E34" s="29">
        <v>2</v>
      </c>
      <c r="F34" s="29">
        <v>2</v>
      </c>
      <c r="G34" s="126">
        <v>68</v>
      </c>
      <c r="H34" s="29">
        <v>152</v>
      </c>
      <c r="I34" s="29">
        <v>186</v>
      </c>
      <c r="J34" s="29">
        <v>99</v>
      </c>
      <c r="K34" s="29">
        <v>0</v>
      </c>
      <c r="L34" s="29">
        <v>0</v>
      </c>
      <c r="M34" s="29">
        <v>0</v>
      </c>
    </row>
    <row r="35" spans="1:13" ht="12.75" customHeight="1" x14ac:dyDescent="0.2">
      <c r="A35" s="47" t="s">
        <v>102</v>
      </c>
      <c r="B35" s="31">
        <v>0</v>
      </c>
      <c r="C35" s="31">
        <v>4</v>
      </c>
      <c r="D35" s="80"/>
      <c r="E35" s="31">
        <v>0</v>
      </c>
      <c r="F35" s="31">
        <v>0</v>
      </c>
      <c r="G35" s="31">
        <v>3</v>
      </c>
      <c r="H35" s="31">
        <v>10</v>
      </c>
      <c r="I35" s="31">
        <v>8</v>
      </c>
      <c r="J35" s="31">
        <v>5</v>
      </c>
      <c r="K35" s="31">
        <v>0</v>
      </c>
      <c r="L35" s="31">
        <v>0</v>
      </c>
      <c r="M35" s="3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73FC-6981-4984-9110-12DB9B1A7D80}">
  <dimension ref="A1:O38"/>
  <sheetViews>
    <sheetView workbookViewId="0">
      <selection activeCell="W18" sqref="W18"/>
    </sheetView>
  </sheetViews>
  <sheetFormatPr defaultRowHeight="12.75" x14ac:dyDescent="0.2"/>
  <sheetData>
    <row r="1" spans="1:15" ht="15" x14ac:dyDescent="0.2">
      <c r="A1" s="51" t="s">
        <v>63</v>
      </c>
      <c r="B1" s="51" t="s">
        <v>52</v>
      </c>
      <c r="C1" s="51" t="s">
        <v>122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  <c r="N1" s="45"/>
      <c r="O1" s="45"/>
    </row>
    <row r="2" spans="1:15" ht="14.25" x14ac:dyDescent="0.2">
      <c r="A2" s="80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12.4</v>
      </c>
      <c r="J2" s="29">
        <v>23.2</v>
      </c>
      <c r="K2" s="29">
        <v>0</v>
      </c>
      <c r="L2" s="29">
        <v>0</v>
      </c>
      <c r="M2" s="29">
        <v>0</v>
      </c>
      <c r="N2" s="42"/>
      <c r="O2" s="42"/>
    </row>
    <row r="3" spans="1:15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20</v>
      </c>
      <c r="H3" s="29">
        <v>9</v>
      </c>
      <c r="I3" s="29">
        <v>0</v>
      </c>
      <c r="J3" s="29">
        <v>31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101">
        <v>10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42"/>
      <c r="O4" s="42"/>
    </row>
    <row r="5" spans="1:15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42"/>
      <c r="O6" s="42"/>
    </row>
    <row r="7" spans="1:15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4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102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5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19</v>
      </c>
      <c r="J9" s="29">
        <v>0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101">
        <v>34</v>
      </c>
      <c r="J10" s="29">
        <v>0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10</v>
      </c>
      <c r="B11" s="29">
        <v>0</v>
      </c>
      <c r="C11" s="29">
        <v>0</v>
      </c>
      <c r="D11" s="29">
        <v>0.5</v>
      </c>
      <c r="E11" s="29">
        <v>0</v>
      </c>
      <c r="F11" s="29">
        <v>0</v>
      </c>
      <c r="G11" s="29">
        <v>0</v>
      </c>
      <c r="H11" s="29">
        <v>0</v>
      </c>
      <c r="I11" s="101">
        <v>71.400000000000006</v>
      </c>
      <c r="J11" s="29">
        <v>0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42"/>
      <c r="O12" s="42"/>
    </row>
    <row r="13" spans="1:15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3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42"/>
      <c r="O15" s="42"/>
    </row>
    <row r="16" spans="1:15" ht="14.25" x14ac:dyDescent="0.2">
      <c r="A16" s="31">
        <v>15</v>
      </c>
      <c r="B16" s="29">
        <v>0</v>
      </c>
      <c r="C16" s="29">
        <v>0</v>
      </c>
      <c r="D16" s="29">
        <v>3</v>
      </c>
      <c r="E16" s="29">
        <v>0</v>
      </c>
      <c r="F16" s="29">
        <v>0</v>
      </c>
      <c r="G16" s="29">
        <v>0</v>
      </c>
      <c r="H16" s="29">
        <v>0</v>
      </c>
      <c r="I16" s="101">
        <v>2</v>
      </c>
      <c r="J16" s="29">
        <v>21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4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42"/>
      <c r="O17" s="42"/>
    </row>
    <row r="18" spans="1:15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101">
        <v>2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4</v>
      </c>
      <c r="H21" s="29">
        <v>0</v>
      </c>
      <c r="I21" s="29">
        <v>4</v>
      </c>
      <c r="J21" s="29">
        <v>0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38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20</v>
      </c>
      <c r="G23" s="29">
        <v>0</v>
      </c>
      <c r="H23" s="29">
        <v>10</v>
      </c>
      <c r="I23" s="29">
        <v>0</v>
      </c>
      <c r="J23" s="29">
        <v>0</v>
      </c>
      <c r="K23" s="29">
        <v>10</v>
      </c>
      <c r="L23" s="29">
        <v>0</v>
      </c>
      <c r="M23" s="29">
        <v>0</v>
      </c>
      <c r="N23" s="42"/>
      <c r="O23" s="42"/>
    </row>
    <row r="24" spans="1:15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81.599999999999994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1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6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0</v>
      </c>
      <c r="H30" s="29">
        <v>49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12</v>
      </c>
      <c r="H31" s="29">
        <v>13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2.4</v>
      </c>
      <c r="I32" s="29">
        <v>26</v>
      </c>
      <c r="J32" s="80"/>
      <c r="K32" s="29">
        <v>0</v>
      </c>
      <c r="L32" s="80"/>
      <c r="M32" s="29">
        <v>0</v>
      </c>
      <c r="N32" s="42"/>
      <c r="O32" s="42"/>
    </row>
    <row r="33" spans="1:15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12.75" customHeight="1" x14ac:dyDescent="0.2">
      <c r="A34" s="47" t="s">
        <v>101</v>
      </c>
      <c r="B34" s="29">
        <v>0</v>
      </c>
      <c r="C34" s="29">
        <v>0</v>
      </c>
      <c r="D34" s="29">
        <v>3.5</v>
      </c>
      <c r="E34" s="29">
        <v>0</v>
      </c>
      <c r="F34" s="29">
        <v>20</v>
      </c>
      <c r="G34" s="29">
        <v>54</v>
      </c>
      <c r="H34" s="29">
        <v>218</v>
      </c>
      <c r="I34" s="29">
        <v>170.8</v>
      </c>
      <c r="J34" s="29">
        <v>75.2</v>
      </c>
      <c r="K34" s="29">
        <v>10</v>
      </c>
      <c r="L34" s="29">
        <v>0</v>
      </c>
      <c r="M34" s="29">
        <v>0</v>
      </c>
      <c r="N34" s="45"/>
      <c r="O34" s="45"/>
    </row>
    <row r="35" spans="1:15" ht="12.75" customHeight="1" x14ac:dyDescent="0.2">
      <c r="A35" s="47" t="s">
        <v>102</v>
      </c>
      <c r="B35" s="31">
        <v>0</v>
      </c>
      <c r="C35" s="31">
        <v>0</v>
      </c>
      <c r="D35" s="80"/>
      <c r="E35" s="31">
        <v>0</v>
      </c>
      <c r="F35" s="80"/>
      <c r="G35" s="31">
        <v>6</v>
      </c>
      <c r="H35" s="31">
        <v>9</v>
      </c>
      <c r="I35" s="31">
        <v>6</v>
      </c>
      <c r="J35" s="31">
        <v>3</v>
      </c>
      <c r="K35" s="80"/>
      <c r="L35" s="31">
        <v>0</v>
      </c>
      <c r="M35" s="31">
        <v>0</v>
      </c>
      <c r="N35" s="45"/>
      <c r="O35" s="45"/>
    </row>
    <row r="36" spans="1:15" ht="12.75" customHeight="1" x14ac:dyDescent="0.2">
      <c r="A36" s="80" t="s">
        <v>106</v>
      </c>
      <c r="B36" s="31">
        <v>31</v>
      </c>
      <c r="C36" s="102">
        <v>28</v>
      </c>
      <c r="D36" s="31">
        <v>31</v>
      </c>
      <c r="E36" s="102">
        <v>30</v>
      </c>
      <c r="F36" s="31">
        <v>31</v>
      </c>
      <c r="G36" s="31">
        <v>30</v>
      </c>
      <c r="H36" s="31">
        <v>31</v>
      </c>
      <c r="I36" s="102">
        <v>31</v>
      </c>
      <c r="J36" s="31">
        <v>30</v>
      </c>
      <c r="K36" s="102">
        <v>31</v>
      </c>
      <c r="L36" s="31">
        <v>30</v>
      </c>
      <c r="M36" s="102">
        <v>31</v>
      </c>
      <c r="N36" s="45"/>
      <c r="O36" s="45"/>
    </row>
    <row r="37" spans="1:15" ht="12.75" customHeight="1" x14ac:dyDescent="0.2">
      <c r="A37" s="88" t="s">
        <v>30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</row>
    <row r="38" spans="1:15" ht="12.75" customHeight="1" x14ac:dyDescent="0.2">
      <c r="A38" s="88" t="s">
        <v>31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CA12-4FC9-4FA5-AC4D-B13559F1B731}">
  <dimension ref="A1:O38"/>
  <sheetViews>
    <sheetView topLeftCell="A6" workbookViewId="0">
      <selection activeCell="D37" sqref="D37"/>
    </sheetView>
  </sheetViews>
  <sheetFormatPr defaultRowHeight="12.75" x14ac:dyDescent="0.2"/>
  <cols>
    <col min="1" max="1" width="29.1640625" customWidth="1"/>
  </cols>
  <sheetData>
    <row r="1" spans="1:15" ht="15" x14ac:dyDescent="0.2">
      <c r="A1" s="47" t="s">
        <v>58</v>
      </c>
      <c r="B1" s="51" t="s">
        <v>52</v>
      </c>
      <c r="C1" s="47" t="s">
        <v>121</v>
      </c>
      <c r="D1" s="47" t="s">
        <v>95</v>
      </c>
      <c r="E1" s="47" t="s">
        <v>59</v>
      </c>
      <c r="F1" s="51" t="s">
        <v>54</v>
      </c>
      <c r="G1" s="47" t="s">
        <v>74</v>
      </c>
      <c r="H1" s="47" t="s">
        <v>75</v>
      </c>
      <c r="I1" s="51" t="s">
        <v>66</v>
      </c>
      <c r="J1" s="47" t="s">
        <v>60</v>
      </c>
      <c r="K1" s="47" t="s">
        <v>61</v>
      </c>
      <c r="L1" s="47" t="s">
        <v>96</v>
      </c>
      <c r="M1" s="47" t="s">
        <v>62</v>
      </c>
      <c r="N1" s="45"/>
      <c r="O1" s="45"/>
    </row>
    <row r="2" spans="1:15" ht="14.25" x14ac:dyDescent="0.2">
      <c r="A2" s="80"/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22</v>
      </c>
      <c r="J2" s="29">
        <v>0</v>
      </c>
      <c r="K2" s="29">
        <v>0</v>
      </c>
      <c r="L2" s="29">
        <v>0</v>
      </c>
      <c r="M2" s="29">
        <v>0</v>
      </c>
      <c r="N2" s="42"/>
      <c r="O2" s="42"/>
    </row>
    <row r="3" spans="1:15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101">
        <v>7</v>
      </c>
      <c r="J3" s="29">
        <v>0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101">
        <v>1.8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42"/>
      <c r="O4" s="42"/>
    </row>
    <row r="5" spans="1:15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59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19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42"/>
      <c r="O6" s="42"/>
    </row>
    <row r="7" spans="1:15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1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102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2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8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3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23</v>
      </c>
      <c r="I12" s="29">
        <v>0</v>
      </c>
      <c r="J12" s="29">
        <v>11</v>
      </c>
      <c r="K12" s="29">
        <v>0</v>
      </c>
      <c r="L12" s="29">
        <v>0</v>
      </c>
      <c r="M12" s="29">
        <v>0</v>
      </c>
      <c r="N12" s="42"/>
      <c r="O12" s="42"/>
    </row>
    <row r="13" spans="1:15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39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101">
        <v>43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42"/>
      <c r="O15" s="42"/>
    </row>
    <row r="16" spans="1:15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53</v>
      </c>
      <c r="I16" s="29">
        <v>0</v>
      </c>
      <c r="J16" s="29">
        <v>5.5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54.5</v>
      </c>
      <c r="I17" s="29">
        <v>0</v>
      </c>
      <c r="J17" s="29">
        <v>3</v>
      </c>
      <c r="K17" s="29">
        <v>0</v>
      </c>
      <c r="L17" s="29">
        <v>0</v>
      </c>
      <c r="M17" s="29">
        <v>0</v>
      </c>
      <c r="N17" s="42"/>
      <c r="O17" s="42"/>
    </row>
    <row r="18" spans="1:15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44</v>
      </c>
      <c r="I18" s="29">
        <v>29</v>
      </c>
      <c r="J18" s="29">
        <v>0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60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27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8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101">
        <v>6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5</v>
      </c>
      <c r="H25" s="29">
        <v>0</v>
      </c>
      <c r="I25" s="29">
        <v>0</v>
      </c>
      <c r="J25" s="29">
        <v>14</v>
      </c>
      <c r="K25" s="29">
        <v>0</v>
      </c>
      <c r="L25" s="29">
        <v>0</v>
      </c>
      <c r="M25" s="29">
        <v>0</v>
      </c>
      <c r="N25" s="42"/>
      <c r="O25" s="42"/>
    </row>
    <row r="26" spans="1:15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11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19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9.8000000000000007</v>
      </c>
      <c r="H28" s="29">
        <v>39.5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14</v>
      </c>
      <c r="F29" s="29">
        <v>0</v>
      </c>
      <c r="G29" s="29">
        <v>0</v>
      </c>
      <c r="H29" s="29">
        <v>25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29</v>
      </c>
      <c r="B30" s="29">
        <v>0</v>
      </c>
      <c r="C30" s="80"/>
      <c r="D30" s="29">
        <v>0</v>
      </c>
      <c r="E30" s="101">
        <v>7</v>
      </c>
      <c r="F30" s="29">
        <v>0</v>
      </c>
      <c r="G30" s="29">
        <v>0</v>
      </c>
      <c r="H30" s="29">
        <v>18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  <c r="N32" s="42"/>
      <c r="O32" s="42"/>
    </row>
    <row r="33" spans="1:15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12.75" customHeight="1" x14ac:dyDescent="0.2">
      <c r="A34" s="47" t="s">
        <v>101</v>
      </c>
      <c r="B34" s="29">
        <v>0</v>
      </c>
      <c r="C34" s="29">
        <v>0</v>
      </c>
      <c r="D34" s="29">
        <v>0</v>
      </c>
      <c r="E34" s="29">
        <v>21</v>
      </c>
      <c r="F34" s="29">
        <v>0</v>
      </c>
      <c r="G34" s="101">
        <v>39.799999999999997</v>
      </c>
      <c r="H34" s="29">
        <v>480.8</v>
      </c>
      <c r="I34" s="29">
        <v>58</v>
      </c>
      <c r="J34" s="29">
        <v>91.5</v>
      </c>
      <c r="K34" s="29">
        <v>0</v>
      </c>
      <c r="L34" s="29">
        <v>0</v>
      </c>
      <c r="M34" s="29">
        <v>0</v>
      </c>
      <c r="N34" s="45"/>
      <c r="O34" s="45"/>
    </row>
    <row r="35" spans="1:15" ht="12.75" customHeight="1" x14ac:dyDescent="0.2">
      <c r="A35" s="47" t="s">
        <v>102</v>
      </c>
      <c r="B35" s="31">
        <v>0</v>
      </c>
      <c r="C35" s="31">
        <v>0</v>
      </c>
      <c r="D35" s="31">
        <v>0</v>
      </c>
      <c r="E35" s="31">
        <v>2</v>
      </c>
      <c r="F35" s="31">
        <v>0</v>
      </c>
      <c r="G35" s="31">
        <v>4</v>
      </c>
      <c r="H35" s="31">
        <v>14</v>
      </c>
      <c r="I35" s="102">
        <v>3</v>
      </c>
      <c r="J35" s="31">
        <v>7</v>
      </c>
      <c r="K35" s="31">
        <v>0</v>
      </c>
      <c r="L35" s="31">
        <v>0</v>
      </c>
      <c r="M35" s="31">
        <v>0</v>
      </c>
      <c r="N35" s="45"/>
      <c r="O35" s="45"/>
    </row>
    <row r="36" spans="1:15" ht="12.75" customHeight="1" x14ac:dyDescent="0.2">
      <c r="A36" s="80" t="s">
        <v>106</v>
      </c>
      <c r="B36" s="31">
        <v>31</v>
      </c>
      <c r="C36" s="102">
        <v>28</v>
      </c>
      <c r="D36" s="31">
        <v>31</v>
      </c>
      <c r="E36" s="102">
        <v>30</v>
      </c>
      <c r="F36" s="31">
        <v>31</v>
      </c>
      <c r="G36" s="31">
        <v>30</v>
      </c>
      <c r="H36" s="31">
        <v>31</v>
      </c>
      <c r="I36" s="102">
        <v>31</v>
      </c>
      <c r="J36" s="31">
        <v>30</v>
      </c>
      <c r="K36" s="102">
        <v>31</v>
      </c>
      <c r="L36" s="31">
        <v>30</v>
      </c>
      <c r="M36" s="102">
        <v>31</v>
      </c>
      <c r="N36" s="45"/>
      <c r="O36" s="45"/>
    </row>
    <row r="37" spans="1:15" ht="12.75" customHeight="1" x14ac:dyDescent="0.2">
      <c r="A37" s="88" t="s">
        <v>28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</row>
    <row r="38" spans="1:15" ht="12.75" customHeight="1" x14ac:dyDescent="0.2">
      <c r="A38" s="88" t="s">
        <v>29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21E5-748D-4047-B1D6-DB38EB1A2B86}">
  <dimension ref="A1:O39"/>
  <sheetViews>
    <sheetView workbookViewId="0">
      <selection activeCell="Q32" sqref="Q32"/>
    </sheetView>
  </sheetViews>
  <sheetFormatPr defaultRowHeight="12.75" x14ac:dyDescent="0.2"/>
  <cols>
    <col min="1" max="1" width="27.83203125" customWidth="1"/>
  </cols>
  <sheetData>
    <row r="1" spans="1:15" ht="15" x14ac:dyDescent="0.2">
      <c r="A1" s="51" t="s">
        <v>63</v>
      </c>
      <c r="B1" s="51" t="s">
        <v>52</v>
      </c>
      <c r="C1" s="51" t="s">
        <v>107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  <c r="N1" s="45"/>
      <c r="O1" s="45"/>
    </row>
    <row r="2" spans="1:15" ht="14.25" x14ac:dyDescent="0.2">
      <c r="A2" s="80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61</v>
      </c>
      <c r="J2" s="29">
        <v>0</v>
      </c>
      <c r="K2" s="29">
        <v>0</v>
      </c>
      <c r="L2" s="29">
        <v>0</v>
      </c>
      <c r="M2" s="29">
        <v>0</v>
      </c>
      <c r="N2" s="42"/>
      <c r="O2" s="42"/>
    </row>
    <row r="3" spans="1:15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17</v>
      </c>
      <c r="J3" s="29">
        <v>0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126">
        <v>3</v>
      </c>
      <c r="J4" s="29">
        <v>0</v>
      </c>
      <c r="K4" s="126">
        <v>10</v>
      </c>
      <c r="L4" s="29">
        <v>0</v>
      </c>
      <c r="M4" s="29">
        <v>0</v>
      </c>
      <c r="N4" s="42"/>
      <c r="O4" s="42"/>
    </row>
    <row r="5" spans="1:15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126">
        <v>1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24</v>
      </c>
      <c r="J6" s="29">
        <v>0</v>
      </c>
      <c r="K6" s="29">
        <v>12</v>
      </c>
      <c r="L6" s="29">
        <v>0</v>
      </c>
      <c r="M6" s="29">
        <v>0</v>
      </c>
      <c r="N6" s="42"/>
      <c r="O6" s="42"/>
    </row>
    <row r="7" spans="1:15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1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127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126">
        <v>4</v>
      </c>
      <c r="J8" s="29">
        <v>0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96</v>
      </c>
      <c r="J9" s="29">
        <v>0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31</v>
      </c>
      <c r="H10" s="29">
        <v>0</v>
      </c>
      <c r="I10" s="126">
        <v>7</v>
      </c>
      <c r="J10" s="29">
        <v>0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56</v>
      </c>
      <c r="J11" s="29">
        <v>0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60</v>
      </c>
      <c r="J12" s="29">
        <v>0</v>
      </c>
      <c r="K12" s="29">
        <v>0</v>
      </c>
      <c r="L12" s="29">
        <v>0</v>
      </c>
      <c r="M12" s="29">
        <v>0</v>
      </c>
      <c r="N12" s="42"/>
      <c r="O12" s="42"/>
    </row>
    <row r="13" spans="1:15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12</v>
      </c>
      <c r="J13" s="29">
        <v>0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6</v>
      </c>
      <c r="G14" s="29">
        <v>0</v>
      </c>
      <c r="H14" s="29">
        <v>0</v>
      </c>
      <c r="I14" s="29">
        <v>40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22</v>
      </c>
      <c r="J15" s="29">
        <v>3</v>
      </c>
      <c r="K15" s="29">
        <v>0</v>
      </c>
      <c r="L15" s="29">
        <v>0</v>
      </c>
      <c r="M15" s="29">
        <v>0</v>
      </c>
      <c r="N15" s="42"/>
      <c r="O15" s="42"/>
    </row>
    <row r="16" spans="1:15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1</v>
      </c>
      <c r="H17" s="29">
        <v>0</v>
      </c>
      <c r="I17" s="29">
        <v>83</v>
      </c>
      <c r="J17" s="29">
        <v>4</v>
      </c>
      <c r="K17" s="29">
        <v>0</v>
      </c>
      <c r="L17" s="29">
        <v>0</v>
      </c>
      <c r="M17" s="29">
        <v>0</v>
      </c>
      <c r="N17" s="42"/>
      <c r="O17" s="42"/>
    </row>
    <row r="18" spans="1:15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</v>
      </c>
      <c r="I18" s="29">
        <v>14</v>
      </c>
      <c r="J18" s="29">
        <v>0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2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126">
        <v>137</v>
      </c>
      <c r="H20" s="29">
        <v>43</v>
      </c>
      <c r="I20" s="126">
        <v>16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16</v>
      </c>
      <c r="J21" s="29">
        <v>0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21</v>
      </c>
      <c r="B22" s="29">
        <v>1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126">
        <v>4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25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35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1</v>
      </c>
      <c r="H26" s="29">
        <v>0</v>
      </c>
      <c r="I26" s="29">
        <v>43</v>
      </c>
      <c r="J26" s="29">
        <v>0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126">
        <v>7</v>
      </c>
      <c r="H28" s="29">
        <v>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4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29</v>
      </c>
      <c r="B30" s="29">
        <v>0</v>
      </c>
      <c r="C30" s="29">
        <v>0</v>
      </c>
      <c r="D30" s="29">
        <v>0</v>
      </c>
      <c r="E30" s="29">
        <v>0</v>
      </c>
      <c r="F30" s="29">
        <v>0</v>
      </c>
      <c r="G30" s="29">
        <v>43</v>
      </c>
      <c r="H30" s="29">
        <v>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1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42"/>
      <c r="O31" s="42"/>
    </row>
    <row r="32" spans="1:15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  <c r="N32" s="42"/>
      <c r="O32" s="42"/>
    </row>
    <row r="33" spans="1:15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12.75" customHeight="1" x14ac:dyDescent="0.2">
      <c r="A34" s="118" t="s">
        <v>101</v>
      </c>
      <c r="B34" s="120">
        <v>1</v>
      </c>
      <c r="C34" s="120">
        <v>0</v>
      </c>
      <c r="D34" s="120">
        <v>0</v>
      </c>
      <c r="E34" s="120">
        <v>0</v>
      </c>
      <c r="F34" s="120">
        <v>6</v>
      </c>
      <c r="G34" s="120">
        <v>224</v>
      </c>
      <c r="H34" s="121">
        <v>77</v>
      </c>
      <c r="I34" s="120">
        <v>640</v>
      </c>
      <c r="J34" s="120">
        <v>8</v>
      </c>
      <c r="K34" s="120">
        <v>22</v>
      </c>
      <c r="L34" s="120">
        <v>0</v>
      </c>
      <c r="M34" s="120">
        <v>0</v>
      </c>
      <c r="N34" s="45"/>
      <c r="O34" s="45"/>
    </row>
    <row r="35" spans="1:15" ht="12.75" customHeight="1" x14ac:dyDescent="0.2">
      <c r="A35" s="118" t="s">
        <v>102</v>
      </c>
      <c r="B35" s="53">
        <v>0</v>
      </c>
      <c r="C35" s="53">
        <v>0</v>
      </c>
      <c r="D35" s="53">
        <v>0</v>
      </c>
      <c r="E35" s="53">
        <v>0</v>
      </c>
      <c r="F35" s="122"/>
      <c r="G35" s="53">
        <v>5</v>
      </c>
      <c r="H35" s="119">
        <v>3</v>
      </c>
      <c r="I35" s="53">
        <v>20</v>
      </c>
      <c r="J35" s="53">
        <v>2</v>
      </c>
      <c r="K35" s="53">
        <v>2</v>
      </c>
      <c r="L35" s="53">
        <v>0</v>
      </c>
      <c r="M35" s="53">
        <v>0</v>
      </c>
      <c r="N35" s="45"/>
      <c r="O35" s="45"/>
    </row>
    <row r="36" spans="1:15" ht="12.75" customHeight="1" x14ac:dyDescent="0.2">
      <c r="A36" s="123" t="s">
        <v>106</v>
      </c>
      <c r="B36" s="124">
        <v>31</v>
      </c>
      <c r="C36" s="124">
        <v>29</v>
      </c>
      <c r="D36" s="124">
        <v>31</v>
      </c>
      <c r="E36" s="124">
        <v>30</v>
      </c>
      <c r="F36" s="124">
        <v>31</v>
      </c>
      <c r="G36" s="124">
        <v>30</v>
      </c>
      <c r="H36" s="124">
        <v>31</v>
      </c>
      <c r="I36" s="125">
        <v>31</v>
      </c>
      <c r="J36" s="124">
        <v>30</v>
      </c>
      <c r="K36" s="125">
        <v>31</v>
      </c>
      <c r="L36" s="124">
        <v>30</v>
      </c>
      <c r="M36" s="125">
        <v>31</v>
      </c>
      <c r="N36" s="45"/>
      <c r="O36" s="45"/>
    </row>
    <row r="37" spans="1:15" ht="12.75" customHeight="1" x14ac:dyDescent="0.2">
      <c r="A37" s="128"/>
      <c r="B37" s="129"/>
      <c r="C37" s="129"/>
      <c r="D37" s="129"/>
      <c r="E37" s="129"/>
      <c r="F37" s="129"/>
      <c r="G37" s="129"/>
      <c r="H37" s="129"/>
      <c r="I37" s="130"/>
      <c r="J37" s="129"/>
      <c r="K37" s="130"/>
      <c r="L37" s="129"/>
      <c r="M37" s="130"/>
      <c r="N37" s="45"/>
      <c r="O37" s="45"/>
    </row>
    <row r="38" spans="1:15" ht="12.75" customHeight="1" x14ac:dyDescent="0.2">
      <c r="A38" s="88" t="s">
        <v>26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</row>
    <row r="39" spans="1:15" ht="12.75" customHeight="1" x14ac:dyDescent="0.2">
      <c r="A39" s="88" t="s">
        <v>27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C837-8A0E-45F2-8CC4-B4A77194782B}">
  <dimension ref="A1:O39"/>
  <sheetViews>
    <sheetView topLeftCell="A6" workbookViewId="0">
      <selection activeCell="B44" sqref="B44"/>
    </sheetView>
  </sheetViews>
  <sheetFormatPr defaultRowHeight="12.75" x14ac:dyDescent="0.2"/>
  <cols>
    <col min="1" max="1" width="34" customWidth="1"/>
  </cols>
  <sheetData>
    <row r="1" spans="1:15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  <c r="N1" s="45"/>
      <c r="O1" s="45"/>
    </row>
    <row r="2" spans="1:15" ht="14.25" x14ac:dyDescent="0.2">
      <c r="A2" s="31">
        <v>1</v>
      </c>
      <c r="B2" s="29">
        <v>6</v>
      </c>
      <c r="C2" s="101">
        <v>6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  <c r="N2" s="42"/>
      <c r="O2" s="42"/>
    </row>
    <row r="3" spans="1:15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8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42"/>
      <c r="O4" s="42"/>
    </row>
    <row r="5" spans="1:15" ht="14.25" x14ac:dyDescent="0.2">
      <c r="A5" s="102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29</v>
      </c>
      <c r="I5" s="29">
        <v>1</v>
      </c>
      <c r="J5" s="29">
        <v>0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17</v>
      </c>
      <c r="I6" s="29">
        <v>0</v>
      </c>
      <c r="J6" s="29">
        <v>64</v>
      </c>
      <c r="K6" s="29">
        <v>0</v>
      </c>
      <c r="L6" s="29">
        <v>0</v>
      </c>
      <c r="M6" s="29">
        <v>0</v>
      </c>
      <c r="N6" s="42"/>
      <c r="O6" s="42"/>
    </row>
    <row r="7" spans="1:15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101">
        <v>14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102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26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19</v>
      </c>
      <c r="J10" s="29">
        <v>0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34</v>
      </c>
      <c r="J11" s="29">
        <v>4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15</v>
      </c>
      <c r="I12" s="29">
        <v>17</v>
      </c>
      <c r="J12" s="29">
        <v>0</v>
      </c>
      <c r="K12" s="29">
        <v>0</v>
      </c>
      <c r="L12" s="29">
        <v>0</v>
      </c>
      <c r="M12" s="29">
        <v>0</v>
      </c>
      <c r="N12" s="42"/>
      <c r="O12" s="42"/>
    </row>
    <row r="13" spans="1:15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25</v>
      </c>
      <c r="I13" s="29">
        <v>25</v>
      </c>
      <c r="J13" s="29">
        <v>0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9</v>
      </c>
      <c r="J15" s="29">
        <v>0</v>
      </c>
      <c r="K15" s="29">
        <v>0</v>
      </c>
      <c r="L15" s="29">
        <v>0</v>
      </c>
      <c r="M15" s="29">
        <v>2</v>
      </c>
      <c r="N15" s="42"/>
      <c r="O15" s="42"/>
    </row>
    <row r="16" spans="1:15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36</v>
      </c>
      <c r="I16" s="29">
        <v>11</v>
      </c>
      <c r="J16" s="29">
        <v>10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56</v>
      </c>
      <c r="I17" s="101">
        <v>38</v>
      </c>
      <c r="J17" s="101">
        <v>7</v>
      </c>
      <c r="K17" s="29">
        <v>0</v>
      </c>
      <c r="L17" s="29">
        <v>0</v>
      </c>
      <c r="M17" s="29">
        <v>0</v>
      </c>
      <c r="N17" s="42"/>
      <c r="O17" s="42"/>
    </row>
    <row r="18" spans="1:15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17</v>
      </c>
      <c r="I18" s="29">
        <v>1</v>
      </c>
      <c r="J18" s="29">
        <v>5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18</v>
      </c>
      <c r="B19" s="29">
        <v>0</v>
      </c>
      <c r="C19" s="29">
        <v>17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19</v>
      </c>
      <c r="B20" s="29">
        <v>0</v>
      </c>
      <c r="C20" s="29">
        <v>9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5</v>
      </c>
      <c r="H22" s="29">
        <v>35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4</v>
      </c>
      <c r="H23" s="29">
        <v>25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150</v>
      </c>
      <c r="H26" s="29">
        <v>0</v>
      </c>
      <c r="I26" s="29">
        <v>20</v>
      </c>
      <c r="J26" s="29">
        <v>0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5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2</v>
      </c>
      <c r="I29" s="101">
        <v>12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0</v>
      </c>
      <c r="H30" s="29">
        <v>5</v>
      </c>
      <c r="I30" s="29">
        <v>5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2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10</v>
      </c>
      <c r="J32" s="80"/>
      <c r="K32" s="29">
        <v>0</v>
      </c>
      <c r="L32" s="80"/>
      <c r="M32" s="29">
        <v>0</v>
      </c>
      <c r="N32" s="42"/>
      <c r="O32" s="42"/>
    </row>
    <row r="33" spans="1:15" ht="14.25" x14ac:dyDescent="0.2">
      <c r="A33" s="82"/>
      <c r="B33" s="83"/>
      <c r="C33" s="107"/>
      <c r="D33" s="83"/>
      <c r="E33" s="107"/>
      <c r="F33" s="83"/>
      <c r="G33" s="107"/>
      <c r="H33" s="83"/>
      <c r="I33" s="83"/>
      <c r="J33" s="107"/>
      <c r="K33" s="83"/>
      <c r="L33" s="107"/>
      <c r="M33" s="83"/>
      <c r="N33" s="42"/>
      <c r="O33" s="42"/>
    </row>
    <row r="34" spans="1:15" ht="12.75" customHeight="1" x14ac:dyDescent="0.25">
      <c r="A34" s="113" t="s">
        <v>103</v>
      </c>
      <c r="B34" s="109">
        <v>6</v>
      </c>
      <c r="C34" s="109">
        <v>32</v>
      </c>
      <c r="D34" s="109">
        <v>0</v>
      </c>
      <c r="E34" s="109">
        <v>0</v>
      </c>
      <c r="F34" s="109">
        <v>0</v>
      </c>
      <c r="G34" s="109">
        <v>159</v>
      </c>
      <c r="H34" s="109">
        <v>275</v>
      </c>
      <c r="I34" s="110">
        <v>204</v>
      </c>
      <c r="J34" s="109">
        <v>130</v>
      </c>
      <c r="K34" s="109">
        <v>0</v>
      </c>
      <c r="L34" s="109">
        <v>0</v>
      </c>
      <c r="M34" s="109">
        <v>2</v>
      </c>
      <c r="N34" s="45"/>
      <c r="O34" s="45"/>
    </row>
    <row r="35" spans="1:15" ht="12.75" customHeight="1" x14ac:dyDescent="0.25">
      <c r="A35" s="113" t="s">
        <v>104</v>
      </c>
      <c r="B35" s="64"/>
      <c r="C35" s="111">
        <v>3</v>
      </c>
      <c r="D35" s="111">
        <v>0</v>
      </c>
      <c r="E35" s="111">
        <v>0</v>
      </c>
      <c r="F35" s="111">
        <v>0</v>
      </c>
      <c r="G35" s="112">
        <v>3</v>
      </c>
      <c r="H35" s="112">
        <v>12</v>
      </c>
      <c r="I35" s="111">
        <v>11</v>
      </c>
      <c r="J35" s="112">
        <v>7</v>
      </c>
      <c r="K35" s="111">
        <v>0</v>
      </c>
      <c r="L35" s="111">
        <v>0</v>
      </c>
      <c r="M35" s="111">
        <v>0</v>
      </c>
      <c r="N35" s="45"/>
      <c r="O35" s="45"/>
    </row>
    <row r="36" spans="1:15" ht="12.75" customHeight="1" x14ac:dyDescent="0.25">
      <c r="A36" s="114" t="s">
        <v>105</v>
      </c>
      <c r="B36" s="111">
        <v>31</v>
      </c>
      <c r="C36" s="111">
        <v>28</v>
      </c>
      <c r="D36" s="111">
        <v>31</v>
      </c>
      <c r="E36" s="112">
        <v>30</v>
      </c>
      <c r="F36" s="111">
        <v>31</v>
      </c>
      <c r="G36" s="111">
        <v>30</v>
      </c>
      <c r="H36" s="112">
        <v>31</v>
      </c>
      <c r="I36" s="112">
        <v>31</v>
      </c>
      <c r="J36" s="111">
        <v>30</v>
      </c>
      <c r="K36" s="111">
        <v>31</v>
      </c>
      <c r="L36" s="111">
        <v>30</v>
      </c>
      <c r="M36" s="112">
        <v>31</v>
      </c>
      <c r="N36" s="45"/>
      <c r="O36" s="45"/>
    </row>
    <row r="37" spans="1:15" ht="12.75" customHeight="1" x14ac:dyDescent="0.25">
      <c r="A37" s="115"/>
      <c r="B37" s="116"/>
      <c r="C37" s="116"/>
      <c r="D37" s="116"/>
      <c r="E37" s="117"/>
      <c r="F37" s="116"/>
      <c r="G37" s="116"/>
      <c r="H37" s="117"/>
      <c r="I37" s="117"/>
      <c r="J37" s="116"/>
      <c r="K37" s="116"/>
      <c r="L37" s="116"/>
      <c r="M37" s="117"/>
      <c r="N37" s="45"/>
      <c r="O37" s="45"/>
    </row>
    <row r="38" spans="1:15" ht="12.75" customHeight="1" x14ac:dyDescent="0.2">
      <c r="A38" s="88" t="s">
        <v>24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</row>
    <row r="39" spans="1:15" ht="12.75" customHeight="1" x14ac:dyDescent="0.2">
      <c r="A39" s="88" t="s">
        <v>25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BB60-3555-42DB-AC20-B4FA6B178824}">
  <dimension ref="A1:M35"/>
  <sheetViews>
    <sheetView workbookViewId="0">
      <selection activeCell="N15" sqref="N15"/>
    </sheetView>
  </sheetViews>
  <sheetFormatPr defaultRowHeight="12.75" x14ac:dyDescent="0.2"/>
  <cols>
    <col min="1" max="1" width="27.5" customWidth="1"/>
  </cols>
  <sheetData>
    <row r="1" spans="1:13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31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8</v>
      </c>
      <c r="J3" s="29">
        <v>0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</row>
    <row r="5" spans="1:13" ht="15" x14ac:dyDescent="0.2">
      <c r="A5" s="105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106">
        <v>22</v>
      </c>
      <c r="J5" s="29">
        <v>67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49</v>
      </c>
      <c r="J6" s="29">
        <v>74</v>
      </c>
      <c r="K6" s="29">
        <v>0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101">
        <v>13</v>
      </c>
      <c r="J7" s="29">
        <v>0</v>
      </c>
      <c r="K7" s="29">
        <v>0</v>
      </c>
      <c r="L7" s="29">
        <v>0</v>
      </c>
      <c r="M7" s="29">
        <v>0</v>
      </c>
    </row>
    <row r="8" spans="1:13" ht="14.25" x14ac:dyDescent="0.2">
      <c r="A8" s="102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55</v>
      </c>
      <c r="J10" s="29">
        <v>0</v>
      </c>
      <c r="K10" s="29">
        <v>0</v>
      </c>
      <c r="L10" s="29">
        <v>0</v>
      </c>
      <c r="M10" s="29">
        <v>0</v>
      </c>
    </row>
    <row r="11" spans="1:13" ht="1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30">
        <v>4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29">
        <v>60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</row>
    <row r="13" spans="1:13" ht="15" x14ac:dyDescent="0.2">
      <c r="A13" s="32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</row>
    <row r="14" spans="1:13" ht="15" x14ac:dyDescent="0.2">
      <c r="A14" s="32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</row>
    <row r="15" spans="1:13" ht="15" x14ac:dyDescent="0.2">
      <c r="A15" s="32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</row>
    <row r="16" spans="1:13" ht="14.25" x14ac:dyDescent="0.2">
      <c r="A16" s="31">
        <v>15</v>
      </c>
      <c r="B16" s="29">
        <v>1</v>
      </c>
      <c r="C16" s="29">
        <v>0</v>
      </c>
      <c r="D16" s="29">
        <v>0</v>
      </c>
      <c r="E16" s="29">
        <v>0</v>
      </c>
      <c r="F16" s="29">
        <v>0</v>
      </c>
      <c r="G16" s="29">
        <v>2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20</v>
      </c>
      <c r="J17" s="29">
        <v>0</v>
      </c>
      <c r="K17" s="29">
        <v>0</v>
      </c>
      <c r="L17" s="29">
        <v>0</v>
      </c>
      <c r="M17" s="29">
        <v>0</v>
      </c>
    </row>
    <row r="18" spans="1:13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2</v>
      </c>
      <c r="H18" s="29">
        <v>0</v>
      </c>
      <c r="I18" s="29">
        <v>22</v>
      </c>
      <c r="J18" s="29">
        <v>0</v>
      </c>
      <c r="K18" s="29">
        <v>0</v>
      </c>
      <c r="L18" s="29">
        <v>0</v>
      </c>
      <c r="M18" s="29">
        <v>0</v>
      </c>
    </row>
    <row r="19" spans="1:13" ht="15" x14ac:dyDescent="0.2">
      <c r="A19" s="32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2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7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101">
        <v>28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</row>
    <row r="22" spans="1:13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13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</row>
    <row r="23" spans="1:13" ht="15" x14ac:dyDescent="0.2">
      <c r="A23" s="32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</v>
      </c>
      <c r="J23" s="29">
        <v>0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</row>
    <row r="25" spans="1:13" ht="15" x14ac:dyDescent="0.2">
      <c r="A25" s="32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</row>
    <row r="26" spans="1:13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101">
        <v>2</v>
      </c>
      <c r="J27" s="29">
        <v>9</v>
      </c>
      <c r="K27" s="29">
        <v>0</v>
      </c>
      <c r="L27" s="29">
        <v>0</v>
      </c>
      <c r="M27" s="29">
        <v>0</v>
      </c>
    </row>
    <row r="28" spans="1:13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5" x14ac:dyDescent="0.2">
      <c r="A29" s="32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101">
        <v>10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</row>
    <row r="32" spans="1:13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</row>
    <row r="33" spans="1:13" ht="12.75" customHeight="1" x14ac:dyDescent="0.2">
      <c r="A33" s="5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ht="12.75" customHeight="1" x14ac:dyDescent="0.2">
      <c r="A34" s="47" t="s">
        <v>101</v>
      </c>
      <c r="B34" s="29">
        <v>1</v>
      </c>
      <c r="C34" s="29">
        <v>60</v>
      </c>
      <c r="D34" s="29">
        <v>0</v>
      </c>
      <c r="E34" s="29">
        <v>0</v>
      </c>
      <c r="F34" s="29">
        <v>0</v>
      </c>
      <c r="G34" s="29">
        <v>55</v>
      </c>
      <c r="H34" s="29">
        <v>9</v>
      </c>
      <c r="I34" s="29">
        <v>193</v>
      </c>
      <c r="J34" s="30">
        <v>154</v>
      </c>
      <c r="K34" s="29">
        <v>0</v>
      </c>
      <c r="L34" s="29">
        <v>0</v>
      </c>
      <c r="M34" s="29">
        <v>0</v>
      </c>
    </row>
    <row r="35" spans="1:13" ht="12.75" customHeight="1" x14ac:dyDescent="0.2">
      <c r="A35" s="47" t="s">
        <v>102</v>
      </c>
      <c r="B35" s="31">
        <v>0</v>
      </c>
      <c r="C35" s="80"/>
      <c r="D35" s="31">
        <v>0</v>
      </c>
      <c r="E35" s="31">
        <v>0</v>
      </c>
      <c r="F35" s="31">
        <v>0</v>
      </c>
      <c r="G35" s="102">
        <v>3</v>
      </c>
      <c r="H35" s="80"/>
      <c r="I35" s="102">
        <v>7</v>
      </c>
      <c r="J35" s="105">
        <v>4</v>
      </c>
      <c r="K35" s="31">
        <v>0</v>
      </c>
      <c r="L35" s="31">
        <v>0</v>
      </c>
      <c r="M35" s="3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B80F-3CBF-4E70-BB83-856D9ADCD1CF}">
  <dimension ref="A1:M35"/>
  <sheetViews>
    <sheetView workbookViewId="0">
      <selection activeCell="Q25" sqref="Q25"/>
    </sheetView>
  </sheetViews>
  <sheetFormatPr defaultRowHeight="12.75" x14ac:dyDescent="0.2"/>
  <cols>
    <col min="1" max="1" width="25.6640625" customWidth="1"/>
  </cols>
  <sheetData>
    <row r="1" spans="1:13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31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101">
        <v>7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225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14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</row>
    <row r="5" spans="1:13" ht="14.25" x14ac:dyDescent="0.2">
      <c r="A5" s="102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101">
        <v>1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</row>
    <row r="8" spans="1:13" ht="14.25" x14ac:dyDescent="0.2">
      <c r="A8" s="102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12</v>
      </c>
      <c r="H9" s="29">
        <v>0</v>
      </c>
      <c r="I9" s="101">
        <v>32</v>
      </c>
      <c r="J9" s="29">
        <v>0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6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</row>
    <row r="11" spans="1:13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8</v>
      </c>
      <c r="H11" s="29">
        <v>21</v>
      </c>
      <c r="I11" s="29">
        <v>6</v>
      </c>
      <c r="J11" s="29">
        <v>0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19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</row>
    <row r="13" spans="1:13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17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</row>
    <row r="14" spans="1:13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2</v>
      </c>
      <c r="J14" s="29">
        <v>0</v>
      </c>
      <c r="K14" s="29">
        <v>0</v>
      </c>
      <c r="L14" s="29">
        <v>0</v>
      </c>
      <c r="M14" s="29">
        <v>0</v>
      </c>
    </row>
    <row r="15" spans="1:13" ht="14.25" x14ac:dyDescent="0.2">
      <c r="A15" s="31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101">
        <v>70</v>
      </c>
      <c r="J15" s="29">
        <v>0</v>
      </c>
      <c r="K15" s="29">
        <v>0</v>
      </c>
      <c r="L15" s="29">
        <v>0</v>
      </c>
      <c r="M15" s="29">
        <v>0</v>
      </c>
    </row>
    <row r="16" spans="1:13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101">
        <v>35</v>
      </c>
      <c r="H16" s="29">
        <v>1</v>
      </c>
      <c r="I16" s="29">
        <v>3</v>
      </c>
      <c r="J16" s="29">
        <v>0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88</v>
      </c>
      <c r="J17" s="29">
        <v>0</v>
      </c>
      <c r="K17" s="29">
        <v>0</v>
      </c>
      <c r="L17" s="29">
        <v>0</v>
      </c>
      <c r="M17" s="29">
        <v>0</v>
      </c>
    </row>
    <row r="18" spans="1:13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46</v>
      </c>
      <c r="H18" s="29">
        <v>0</v>
      </c>
      <c r="I18" s="29">
        <v>47</v>
      </c>
      <c r="J18" s="29">
        <v>0</v>
      </c>
      <c r="K18" s="29">
        <v>0</v>
      </c>
      <c r="L18" s="29">
        <v>0</v>
      </c>
      <c r="M18" s="29">
        <v>0</v>
      </c>
    </row>
    <row r="19" spans="1:13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10</v>
      </c>
      <c r="G19" s="101">
        <v>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14</v>
      </c>
      <c r="G20" s="29">
        <v>14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8</v>
      </c>
      <c r="F21" s="29">
        <v>0</v>
      </c>
      <c r="G21" s="101">
        <v>16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</row>
    <row r="22" spans="1:13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</row>
    <row r="23" spans="1:13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101">
        <v>4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101">
        <v>3</v>
      </c>
      <c r="H24" s="29">
        <v>6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</row>
    <row r="25" spans="1:13" ht="14.25" x14ac:dyDescent="0.2">
      <c r="A25" s="31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</row>
    <row r="26" spans="1:13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14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8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</row>
    <row r="28" spans="1:13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1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13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4.2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29">
        <v>14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</row>
    <row r="32" spans="1:13" ht="14.25" x14ac:dyDescent="0.2">
      <c r="A32" s="31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2</v>
      </c>
      <c r="I32" s="29">
        <v>0</v>
      </c>
      <c r="J32" s="80"/>
      <c r="K32" s="29">
        <v>0</v>
      </c>
      <c r="L32" s="80"/>
      <c r="M32" s="29">
        <v>0</v>
      </c>
    </row>
    <row r="34" spans="1:13" ht="12.75" customHeight="1" x14ac:dyDescent="0.2">
      <c r="A34" s="47" t="s">
        <v>101</v>
      </c>
      <c r="B34" s="29">
        <v>0</v>
      </c>
      <c r="C34" s="29">
        <v>0</v>
      </c>
      <c r="D34" s="29">
        <v>0</v>
      </c>
      <c r="E34" s="29">
        <v>8</v>
      </c>
      <c r="F34" s="29">
        <v>24</v>
      </c>
      <c r="G34" s="29">
        <v>182</v>
      </c>
      <c r="H34" s="29">
        <v>332</v>
      </c>
      <c r="I34" s="101">
        <v>248</v>
      </c>
      <c r="J34" s="29">
        <v>0</v>
      </c>
      <c r="K34" s="29">
        <v>0</v>
      </c>
      <c r="L34" s="29">
        <v>0</v>
      </c>
      <c r="M34" s="29">
        <v>0</v>
      </c>
    </row>
    <row r="35" spans="1:13" ht="12.75" customHeight="1" x14ac:dyDescent="0.2">
      <c r="A35" s="47" t="s">
        <v>102</v>
      </c>
      <c r="B35" s="31">
        <v>0</v>
      </c>
      <c r="C35" s="31">
        <v>0</v>
      </c>
      <c r="D35" s="31">
        <v>0</v>
      </c>
      <c r="E35" s="80"/>
      <c r="F35" s="31">
        <v>2</v>
      </c>
      <c r="G35" s="31">
        <v>11</v>
      </c>
      <c r="H35" s="31">
        <v>10</v>
      </c>
      <c r="I35" s="31">
        <v>6</v>
      </c>
      <c r="J35" s="31">
        <v>0</v>
      </c>
      <c r="K35" s="31">
        <v>0</v>
      </c>
      <c r="L35" s="31">
        <v>0</v>
      </c>
      <c r="M35" s="3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A549-B9F5-4781-B8A1-678EA50A00FF}">
  <dimension ref="A1:O39"/>
  <sheetViews>
    <sheetView topLeftCell="A6" workbookViewId="0">
      <selection activeCell="X26" sqref="X26"/>
    </sheetView>
  </sheetViews>
  <sheetFormatPr defaultRowHeight="12.75" x14ac:dyDescent="0.2"/>
  <cols>
    <col min="1" max="1" width="20.33203125" customWidth="1"/>
  </cols>
  <sheetData>
    <row r="1" spans="1:15" ht="15" x14ac:dyDescent="0.2">
      <c r="A1" s="89" t="s">
        <v>63</v>
      </c>
      <c r="B1" s="89" t="s">
        <v>52</v>
      </c>
      <c r="C1" s="89" t="s">
        <v>64</v>
      </c>
      <c r="D1" s="89" t="s">
        <v>53</v>
      </c>
      <c r="E1" s="89" t="s">
        <v>65</v>
      </c>
      <c r="F1" s="89" t="s">
        <v>54</v>
      </c>
      <c r="G1" s="89" t="s">
        <v>55</v>
      </c>
      <c r="H1" s="89" t="s">
        <v>56</v>
      </c>
      <c r="I1" s="89" t="s">
        <v>66</v>
      </c>
      <c r="J1" s="89" t="s">
        <v>67</v>
      </c>
      <c r="K1" s="89" t="s">
        <v>68</v>
      </c>
      <c r="L1" s="89" t="s">
        <v>57</v>
      </c>
      <c r="M1" s="89" t="s">
        <v>69</v>
      </c>
      <c r="N1" s="45"/>
      <c r="O1" s="45"/>
    </row>
    <row r="2" spans="1:15" ht="14.25" x14ac:dyDescent="0.2">
      <c r="A2" s="53">
        <v>1</v>
      </c>
      <c r="B2" s="52">
        <v>0</v>
      </c>
      <c r="C2" s="52">
        <v>0</v>
      </c>
      <c r="D2" s="52">
        <v>0</v>
      </c>
      <c r="E2" s="52">
        <v>0</v>
      </c>
      <c r="F2" s="52">
        <v>0</v>
      </c>
      <c r="G2" s="52">
        <v>0</v>
      </c>
      <c r="H2" s="52">
        <v>0</v>
      </c>
      <c r="I2" s="52">
        <v>0</v>
      </c>
      <c r="J2" s="52">
        <v>0</v>
      </c>
      <c r="K2" s="52">
        <v>0</v>
      </c>
      <c r="L2" s="52">
        <v>0</v>
      </c>
      <c r="M2" s="52">
        <v>0</v>
      </c>
      <c r="N2" s="42"/>
      <c r="O2" s="42"/>
    </row>
    <row r="3" spans="1:15" ht="14.25" x14ac:dyDescent="0.2">
      <c r="A3" s="53">
        <v>2</v>
      </c>
      <c r="B3" s="52">
        <v>0</v>
      </c>
      <c r="C3" s="52">
        <v>0</v>
      </c>
      <c r="D3" s="52">
        <v>0</v>
      </c>
      <c r="E3" s="52">
        <v>0</v>
      </c>
      <c r="F3" s="52">
        <v>0</v>
      </c>
      <c r="G3" s="52">
        <v>0</v>
      </c>
      <c r="H3" s="52">
        <v>14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42"/>
      <c r="O3" s="42"/>
    </row>
    <row r="4" spans="1:15" ht="14.25" x14ac:dyDescent="0.2">
      <c r="A4" s="53">
        <v>3</v>
      </c>
      <c r="B4" s="52">
        <v>0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H4" s="52">
        <v>26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42"/>
      <c r="O4" s="42"/>
    </row>
    <row r="5" spans="1:15" ht="14.25" x14ac:dyDescent="0.2">
      <c r="A5" s="90">
        <v>4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42"/>
      <c r="O5" s="42"/>
    </row>
    <row r="6" spans="1:15" ht="14.25" x14ac:dyDescent="0.2">
      <c r="A6" s="53">
        <v>5</v>
      </c>
      <c r="B6" s="52">
        <v>0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42"/>
      <c r="O6" s="42"/>
    </row>
    <row r="7" spans="1:15" ht="14.25" x14ac:dyDescent="0.2">
      <c r="A7" s="53">
        <v>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6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42"/>
      <c r="O7" s="42"/>
    </row>
    <row r="8" spans="1:15" ht="14.25" x14ac:dyDescent="0.2">
      <c r="A8" s="90">
        <v>7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42"/>
      <c r="O8" s="42"/>
    </row>
    <row r="9" spans="1:15" ht="14.25" x14ac:dyDescent="0.2">
      <c r="A9" s="53">
        <v>8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42"/>
      <c r="O9" s="42"/>
    </row>
    <row r="10" spans="1:15" ht="14.25" x14ac:dyDescent="0.2">
      <c r="A10" s="53">
        <v>9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6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42"/>
      <c r="O10" s="42"/>
    </row>
    <row r="11" spans="1:15" ht="14.25" x14ac:dyDescent="0.2">
      <c r="A11" s="53">
        <v>10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62</v>
      </c>
      <c r="J11" s="52">
        <v>0</v>
      </c>
      <c r="K11" s="52">
        <v>0</v>
      </c>
      <c r="L11" s="52">
        <v>0</v>
      </c>
      <c r="M11" s="52">
        <v>0</v>
      </c>
      <c r="N11" s="42"/>
      <c r="O11" s="42"/>
    </row>
    <row r="12" spans="1:15" ht="14.25" x14ac:dyDescent="0.2">
      <c r="A12" s="53">
        <v>11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7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42"/>
      <c r="O12" s="42"/>
    </row>
    <row r="13" spans="1:15" ht="14.25" x14ac:dyDescent="0.2">
      <c r="A13" s="53">
        <v>12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91">
        <v>14</v>
      </c>
      <c r="H13" s="52">
        <v>0</v>
      </c>
      <c r="I13" s="91">
        <v>7</v>
      </c>
      <c r="J13" s="52">
        <v>0</v>
      </c>
      <c r="K13" s="52">
        <v>0</v>
      </c>
      <c r="L13" s="52">
        <v>0</v>
      </c>
      <c r="M13" s="52">
        <v>0</v>
      </c>
      <c r="N13" s="42"/>
      <c r="O13" s="42"/>
    </row>
    <row r="14" spans="1:15" ht="14.25" x14ac:dyDescent="0.2">
      <c r="A14" s="53">
        <v>13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1</v>
      </c>
      <c r="J14" s="52">
        <v>0</v>
      </c>
      <c r="K14" s="52">
        <v>0</v>
      </c>
      <c r="L14" s="52">
        <v>0</v>
      </c>
      <c r="M14" s="52">
        <v>0</v>
      </c>
      <c r="N14" s="42"/>
      <c r="O14" s="42"/>
    </row>
    <row r="15" spans="1:15" ht="14.25" x14ac:dyDescent="0.2">
      <c r="A15" s="53">
        <v>14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15</v>
      </c>
      <c r="I15" s="52">
        <v>5</v>
      </c>
      <c r="J15" s="52">
        <v>0</v>
      </c>
      <c r="K15" s="52">
        <v>0</v>
      </c>
      <c r="L15" s="52">
        <v>0</v>
      </c>
      <c r="M15" s="52">
        <v>0</v>
      </c>
      <c r="N15" s="42"/>
      <c r="O15" s="42"/>
    </row>
    <row r="16" spans="1:15" ht="14.25" x14ac:dyDescent="0.2">
      <c r="A16" s="53">
        <v>15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42"/>
      <c r="O16" s="42"/>
    </row>
    <row r="17" spans="1:15" ht="14.25" x14ac:dyDescent="0.2">
      <c r="A17" s="53">
        <v>16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42"/>
      <c r="O17" s="42"/>
    </row>
    <row r="18" spans="1:15" ht="14.25" x14ac:dyDescent="0.2">
      <c r="A18" s="53">
        <v>17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23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42"/>
      <c r="O18" s="42"/>
    </row>
    <row r="19" spans="1:15" ht="14.25" x14ac:dyDescent="0.2">
      <c r="A19" s="53">
        <v>18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91">
        <v>7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42"/>
      <c r="O19" s="42"/>
    </row>
    <row r="20" spans="1:15" ht="14.25" x14ac:dyDescent="0.2">
      <c r="A20" s="53">
        <v>19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37</v>
      </c>
      <c r="I20" s="52">
        <v>4</v>
      </c>
      <c r="J20" s="52">
        <v>0</v>
      </c>
      <c r="K20" s="52">
        <v>0</v>
      </c>
      <c r="L20" s="52">
        <v>0</v>
      </c>
      <c r="M20" s="52">
        <v>0</v>
      </c>
      <c r="N20" s="42"/>
      <c r="O20" s="42"/>
    </row>
    <row r="21" spans="1:15" ht="14.25" x14ac:dyDescent="0.2">
      <c r="A21" s="53">
        <v>20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91">
        <v>79</v>
      </c>
      <c r="I21" s="52">
        <v>4</v>
      </c>
      <c r="J21" s="52">
        <v>0</v>
      </c>
      <c r="K21" s="52">
        <v>0</v>
      </c>
      <c r="L21" s="52">
        <v>0</v>
      </c>
      <c r="M21" s="52">
        <v>0</v>
      </c>
      <c r="N21" s="42"/>
      <c r="O21" s="42"/>
    </row>
    <row r="22" spans="1:15" ht="14.25" x14ac:dyDescent="0.2">
      <c r="A22" s="53">
        <v>21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54</v>
      </c>
      <c r="I22" s="52">
        <v>4</v>
      </c>
      <c r="J22" s="52">
        <v>0</v>
      </c>
      <c r="K22" s="52">
        <v>0</v>
      </c>
      <c r="L22" s="52">
        <v>0</v>
      </c>
      <c r="M22" s="52">
        <v>0</v>
      </c>
      <c r="N22" s="42"/>
      <c r="O22" s="42"/>
    </row>
    <row r="23" spans="1:15" ht="14.25" x14ac:dyDescent="0.2">
      <c r="A23" s="53">
        <v>22</v>
      </c>
      <c r="B23" s="52">
        <v>0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91">
        <v>4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42"/>
      <c r="O23" s="42"/>
    </row>
    <row r="24" spans="1:15" ht="14.25" x14ac:dyDescent="0.2">
      <c r="A24" s="53">
        <v>23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12</v>
      </c>
      <c r="I24" s="91">
        <v>62</v>
      </c>
      <c r="J24" s="52">
        <v>0</v>
      </c>
      <c r="K24" s="52">
        <v>0</v>
      </c>
      <c r="L24" s="52">
        <v>0</v>
      </c>
      <c r="M24" s="52">
        <v>0</v>
      </c>
      <c r="N24" s="42"/>
      <c r="O24" s="42"/>
    </row>
    <row r="25" spans="1:15" ht="14.25" x14ac:dyDescent="0.2">
      <c r="A25" s="53">
        <v>24</v>
      </c>
      <c r="B25" s="52">
        <v>0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91">
        <v>1</v>
      </c>
      <c r="K25" s="52">
        <v>0</v>
      </c>
      <c r="L25" s="52">
        <v>0</v>
      </c>
      <c r="M25" s="52">
        <v>0</v>
      </c>
      <c r="N25" s="42"/>
      <c r="O25" s="42"/>
    </row>
    <row r="26" spans="1:15" ht="14.25" x14ac:dyDescent="0.2">
      <c r="A26" s="53">
        <v>25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42"/>
      <c r="O26" s="42"/>
    </row>
    <row r="27" spans="1:15" ht="14.25" x14ac:dyDescent="0.2">
      <c r="A27" s="53">
        <v>26</v>
      </c>
      <c r="B27" s="52">
        <v>0</v>
      </c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42"/>
      <c r="O27" s="42"/>
    </row>
    <row r="28" spans="1:15" ht="14.25" x14ac:dyDescent="0.2">
      <c r="A28" s="53">
        <v>27</v>
      </c>
      <c r="B28" s="52">
        <v>0</v>
      </c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42"/>
      <c r="O28" s="42"/>
    </row>
    <row r="29" spans="1:15" ht="14.25" x14ac:dyDescent="0.2">
      <c r="A29" s="53">
        <v>28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5</v>
      </c>
      <c r="J29" s="52">
        <v>0</v>
      </c>
      <c r="K29" s="52">
        <v>0</v>
      </c>
      <c r="L29" s="52">
        <v>0</v>
      </c>
      <c r="M29" s="52">
        <v>0</v>
      </c>
      <c r="N29" s="42"/>
      <c r="O29" s="42"/>
    </row>
    <row r="30" spans="1:15" ht="14.25" x14ac:dyDescent="0.2">
      <c r="A30" s="53">
        <v>29</v>
      </c>
      <c r="B30" s="52">
        <v>0</v>
      </c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42"/>
      <c r="O30" s="42"/>
    </row>
    <row r="31" spans="1:15" ht="14.25" x14ac:dyDescent="0.2">
      <c r="A31" s="53">
        <v>30</v>
      </c>
      <c r="B31" s="52">
        <v>0</v>
      </c>
      <c r="C31" s="92"/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42"/>
      <c r="O31" s="42"/>
    </row>
    <row r="32" spans="1:15" ht="14.25" x14ac:dyDescent="0.2">
      <c r="A32" s="53">
        <v>31</v>
      </c>
      <c r="B32" s="52">
        <v>0</v>
      </c>
      <c r="C32" s="92"/>
      <c r="D32" s="52">
        <v>0</v>
      </c>
      <c r="E32" s="92"/>
      <c r="F32" s="52">
        <v>0</v>
      </c>
      <c r="G32" s="92"/>
      <c r="H32" s="52">
        <v>0</v>
      </c>
      <c r="I32" s="52">
        <v>0</v>
      </c>
      <c r="J32" s="92"/>
      <c r="K32" s="52">
        <v>0</v>
      </c>
      <c r="L32" s="92"/>
      <c r="M32" s="52">
        <v>0</v>
      </c>
      <c r="N32" s="42"/>
      <c r="O32" s="42"/>
    </row>
    <row r="33" spans="1:15" ht="14.25" x14ac:dyDescent="0.2">
      <c r="A33" s="93"/>
      <c r="B33" s="94"/>
      <c r="C33" s="95"/>
      <c r="D33" s="94"/>
      <c r="E33" s="95"/>
      <c r="F33" s="94"/>
      <c r="G33" s="95"/>
      <c r="H33" s="94"/>
      <c r="I33" s="94"/>
      <c r="J33" s="95"/>
      <c r="K33" s="94"/>
      <c r="L33" s="95"/>
      <c r="M33" s="94"/>
      <c r="N33" s="42"/>
      <c r="O33" s="42"/>
    </row>
    <row r="34" spans="1:15" ht="27.75" customHeight="1" x14ac:dyDescent="0.2">
      <c r="A34" s="27" t="s">
        <v>78</v>
      </c>
      <c r="B34" s="79">
        <v>0</v>
      </c>
      <c r="C34" s="79">
        <v>0</v>
      </c>
      <c r="D34" s="79">
        <v>0</v>
      </c>
      <c r="E34" s="79">
        <v>0</v>
      </c>
      <c r="F34" s="79">
        <v>0</v>
      </c>
      <c r="G34" s="79">
        <v>14</v>
      </c>
      <c r="H34" s="79">
        <v>290</v>
      </c>
      <c r="I34" s="79">
        <v>154</v>
      </c>
      <c r="J34" s="79">
        <v>1</v>
      </c>
      <c r="K34" s="79">
        <v>0</v>
      </c>
      <c r="L34" s="79">
        <v>0</v>
      </c>
      <c r="M34" s="79">
        <v>0</v>
      </c>
      <c r="N34" s="45"/>
      <c r="O34" s="45"/>
    </row>
    <row r="35" spans="1:15" ht="15.75" customHeight="1" x14ac:dyDescent="0.2">
      <c r="A35" s="27" t="s">
        <v>76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48"/>
      <c r="H35" s="98">
        <v>13</v>
      </c>
      <c r="I35" s="75">
        <v>8</v>
      </c>
      <c r="J35" s="75">
        <v>0</v>
      </c>
      <c r="K35" s="75">
        <v>0</v>
      </c>
      <c r="L35" s="75">
        <v>0</v>
      </c>
      <c r="M35" s="75">
        <v>0</v>
      </c>
      <c r="N35" s="45"/>
      <c r="O35" s="45"/>
    </row>
    <row r="36" spans="1:15" ht="28.5" customHeight="1" x14ac:dyDescent="0.2">
      <c r="A36" s="27" t="s">
        <v>77</v>
      </c>
      <c r="B36" s="75">
        <v>31</v>
      </c>
      <c r="C36" s="75">
        <v>29</v>
      </c>
      <c r="D36" s="75">
        <v>31</v>
      </c>
      <c r="E36" s="98">
        <v>30</v>
      </c>
      <c r="F36" s="75">
        <v>31</v>
      </c>
      <c r="G36" s="75">
        <v>30</v>
      </c>
      <c r="H36" s="98">
        <v>31</v>
      </c>
      <c r="I36" s="98">
        <v>31</v>
      </c>
      <c r="J36" s="75">
        <v>30</v>
      </c>
      <c r="K36" s="75">
        <v>31</v>
      </c>
      <c r="L36" s="75">
        <v>30</v>
      </c>
      <c r="M36" s="98">
        <v>31</v>
      </c>
      <c r="N36" s="45"/>
      <c r="O36" s="45"/>
    </row>
    <row r="37" spans="1:15" ht="12.75" customHeight="1" x14ac:dyDescent="0.2">
      <c r="A37" s="96"/>
      <c r="B37" s="86"/>
      <c r="C37" s="86"/>
      <c r="D37" s="86"/>
      <c r="E37" s="85"/>
      <c r="F37" s="86"/>
      <c r="G37" s="86"/>
      <c r="H37" s="85"/>
      <c r="I37" s="85"/>
      <c r="J37" s="86"/>
      <c r="K37" s="86"/>
      <c r="L37" s="86"/>
      <c r="M37" s="85"/>
      <c r="N37" s="45"/>
      <c r="O37" s="45"/>
    </row>
    <row r="38" spans="1:15" ht="12.75" customHeight="1" x14ac:dyDescent="0.2">
      <c r="A38" s="88" t="s">
        <v>20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</row>
    <row r="39" spans="1:15" ht="12.75" customHeight="1" x14ac:dyDescent="0.2">
      <c r="A39" s="88" t="s">
        <v>21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4009-BBED-4DFB-8A2D-491947142CEB}">
  <dimension ref="A1:BL40"/>
  <sheetViews>
    <sheetView topLeftCell="A3" workbookViewId="0">
      <selection activeCell="A35" sqref="A35:A37"/>
    </sheetView>
  </sheetViews>
  <sheetFormatPr defaultRowHeight="12.75" x14ac:dyDescent="0.2"/>
  <cols>
    <col min="1" max="1" width="21.5" customWidth="1"/>
  </cols>
  <sheetData>
    <row r="1" spans="1:13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31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4</v>
      </c>
      <c r="J2" s="29">
        <v>5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6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1</v>
      </c>
      <c r="J4" s="29">
        <v>6</v>
      </c>
      <c r="K4" s="29">
        <v>16</v>
      </c>
      <c r="L4" s="29">
        <v>0</v>
      </c>
      <c r="M4" s="29">
        <v>0</v>
      </c>
    </row>
    <row r="5" spans="1:13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34</v>
      </c>
      <c r="J5" s="29">
        <v>11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6</v>
      </c>
      <c r="J6" s="29">
        <v>25</v>
      </c>
      <c r="K6" s="29">
        <v>0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1</v>
      </c>
      <c r="J7" s="29">
        <v>13</v>
      </c>
      <c r="K7" s="29">
        <v>0</v>
      </c>
      <c r="L7" s="29">
        <v>0</v>
      </c>
      <c r="M7" s="29">
        <v>0</v>
      </c>
    </row>
    <row r="8" spans="1:13" ht="14.25" x14ac:dyDescent="0.2">
      <c r="A8" s="31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5</v>
      </c>
      <c r="I8" s="29">
        <v>0</v>
      </c>
      <c r="J8" s="29">
        <v>21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2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17</v>
      </c>
      <c r="K10" s="29">
        <v>0</v>
      </c>
      <c r="L10" s="29">
        <v>0</v>
      </c>
      <c r="M10" s="29">
        <v>0</v>
      </c>
    </row>
    <row r="11" spans="1:13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69</v>
      </c>
      <c r="J12" s="29">
        <v>0</v>
      </c>
      <c r="K12" s="29">
        <v>0</v>
      </c>
      <c r="L12" s="29">
        <v>0</v>
      </c>
      <c r="M12" s="29">
        <v>0</v>
      </c>
    </row>
    <row r="13" spans="1:13" ht="14.25" x14ac:dyDescent="0.2">
      <c r="A13" s="80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</row>
    <row r="14" spans="1:13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</row>
    <row r="15" spans="1:13" ht="15" x14ac:dyDescent="0.2">
      <c r="A15" s="32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</row>
    <row r="16" spans="1:13" ht="14.2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6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</row>
    <row r="18" spans="1:13" ht="14.2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</row>
    <row r="19" spans="1:13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4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61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1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</row>
    <row r="22" spans="1:13" ht="14.25" x14ac:dyDescent="0.2">
      <c r="A22" s="31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77</v>
      </c>
      <c r="H22" s="29">
        <v>62</v>
      </c>
      <c r="I22" s="29">
        <v>20</v>
      </c>
      <c r="J22" s="29">
        <v>0</v>
      </c>
      <c r="K22" s="29">
        <v>0</v>
      </c>
      <c r="L22" s="29">
        <v>0</v>
      </c>
      <c r="M22" s="29">
        <v>0</v>
      </c>
    </row>
    <row r="23" spans="1:13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10</v>
      </c>
      <c r="H23" s="29">
        <v>82</v>
      </c>
      <c r="I23" s="29">
        <v>5</v>
      </c>
      <c r="J23" s="29">
        <v>0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1</v>
      </c>
      <c r="H24" s="29">
        <v>78</v>
      </c>
      <c r="I24" s="29">
        <v>0</v>
      </c>
      <c r="J24" s="29">
        <v>6</v>
      </c>
      <c r="K24" s="29">
        <v>0</v>
      </c>
      <c r="L24" s="29">
        <v>0</v>
      </c>
      <c r="M24" s="29">
        <v>0</v>
      </c>
    </row>
    <row r="25" spans="1:13" ht="15" x14ac:dyDescent="0.2">
      <c r="A25" s="32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29</v>
      </c>
      <c r="I25" s="29">
        <v>0</v>
      </c>
      <c r="J25" s="29">
        <v>25</v>
      </c>
      <c r="K25" s="29">
        <v>0</v>
      </c>
      <c r="L25" s="29">
        <v>0</v>
      </c>
      <c r="M25" s="29">
        <v>0</v>
      </c>
    </row>
    <row r="26" spans="1:13" ht="14.25" x14ac:dyDescent="0.2">
      <c r="A26" s="31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3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</row>
    <row r="28" spans="1:13" ht="14.2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28"/>
      <c r="D30" s="29">
        <v>0</v>
      </c>
      <c r="E30" s="29">
        <v>0</v>
      </c>
      <c r="F30" s="29">
        <v>0</v>
      </c>
      <c r="G30" s="29">
        <v>0</v>
      </c>
      <c r="H30" s="29">
        <v>22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4.25" x14ac:dyDescent="0.2">
      <c r="A31" s="31">
        <v>30</v>
      </c>
      <c r="B31" s="29">
        <v>0</v>
      </c>
      <c r="C31" s="28"/>
      <c r="D31" s="29">
        <v>0</v>
      </c>
      <c r="E31" s="29">
        <v>0</v>
      </c>
      <c r="F31" s="29">
        <v>0</v>
      </c>
      <c r="G31" s="29">
        <v>0</v>
      </c>
      <c r="H31" s="29">
        <v>63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</row>
    <row r="32" spans="1:13" ht="14.25" x14ac:dyDescent="0.2">
      <c r="A32" s="31">
        <v>31</v>
      </c>
      <c r="B32" s="29">
        <v>0</v>
      </c>
      <c r="C32" s="28"/>
      <c r="D32" s="29">
        <v>0</v>
      </c>
      <c r="E32" s="28"/>
      <c r="F32" s="29">
        <v>0</v>
      </c>
      <c r="G32" s="28"/>
      <c r="H32" s="29">
        <v>28</v>
      </c>
      <c r="I32" s="29">
        <v>12</v>
      </c>
      <c r="J32" s="28"/>
      <c r="K32" s="29">
        <v>0</v>
      </c>
      <c r="L32" s="28"/>
      <c r="M32" s="29">
        <v>0</v>
      </c>
    </row>
    <row r="33" spans="1:64" ht="14.25" x14ac:dyDescent="0.2">
      <c r="A33" s="82"/>
      <c r="B33" s="83"/>
      <c r="C33" s="84"/>
      <c r="D33" s="83"/>
      <c r="E33" s="84"/>
      <c r="F33" s="83"/>
      <c r="G33" s="84"/>
      <c r="H33" s="83"/>
      <c r="I33" s="83"/>
      <c r="J33" s="84"/>
      <c r="K33" s="83"/>
      <c r="L33" s="84"/>
      <c r="M33" s="83"/>
    </row>
    <row r="34" spans="1:64" ht="12.75" customHeight="1" x14ac:dyDescent="0.2">
      <c r="A34" s="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64" ht="12.75" customHeight="1" x14ac:dyDescent="0.2">
      <c r="A35" s="27" t="s">
        <v>78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88</v>
      </c>
      <c r="H35" s="3">
        <v>434</v>
      </c>
      <c r="I35" s="3">
        <v>156</v>
      </c>
      <c r="J35" s="3">
        <v>143</v>
      </c>
      <c r="K35" s="3">
        <v>16</v>
      </c>
      <c r="L35" s="3">
        <v>0</v>
      </c>
      <c r="M35" s="3">
        <v>0</v>
      </c>
    </row>
    <row r="36" spans="1:64" ht="12.75" customHeight="1" x14ac:dyDescent="0.2">
      <c r="A36" s="27" t="s">
        <v>76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2</v>
      </c>
      <c r="H36" s="2">
        <v>10</v>
      </c>
      <c r="I36" s="2">
        <v>8</v>
      </c>
      <c r="J36" s="2">
        <v>11</v>
      </c>
      <c r="K36" s="5"/>
      <c r="L36" s="2">
        <v>0</v>
      </c>
      <c r="M36" s="2">
        <v>0</v>
      </c>
    </row>
    <row r="37" spans="1:64" ht="28.5" customHeight="1" x14ac:dyDescent="0.2">
      <c r="A37" s="27" t="s">
        <v>77</v>
      </c>
      <c r="B37" s="81">
        <v>31</v>
      </c>
      <c r="C37" s="81">
        <v>28</v>
      </c>
      <c r="D37" s="81">
        <v>31</v>
      </c>
      <c r="E37" s="81">
        <v>30</v>
      </c>
      <c r="F37" s="81">
        <v>31</v>
      </c>
      <c r="G37" s="81">
        <v>30</v>
      </c>
      <c r="H37" s="81">
        <v>31</v>
      </c>
      <c r="I37" s="81">
        <v>31</v>
      </c>
      <c r="J37" s="81">
        <v>30</v>
      </c>
      <c r="K37" s="81">
        <v>31</v>
      </c>
      <c r="L37" s="81">
        <v>30</v>
      </c>
      <c r="M37" s="81">
        <v>31</v>
      </c>
    </row>
    <row r="39" spans="1:64" ht="12.75" customHeight="1" x14ac:dyDescent="0.2">
      <c r="A39" s="78" t="s">
        <v>18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</row>
    <row r="40" spans="1:64" ht="12.75" customHeight="1" x14ac:dyDescent="0.2">
      <c r="A40" s="4" t="s">
        <v>19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8FDD-A81B-4DB4-B056-BCC46F50B8CB}">
  <dimension ref="A1:S39"/>
  <sheetViews>
    <sheetView topLeftCell="A11" workbookViewId="0">
      <selection activeCell="A41" sqref="A41"/>
    </sheetView>
  </sheetViews>
  <sheetFormatPr defaultRowHeight="12.75" x14ac:dyDescent="0.2"/>
  <cols>
    <col min="1" max="1" width="27.83203125" customWidth="1"/>
  </cols>
  <sheetData>
    <row r="1" spans="1:13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31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5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</row>
    <row r="4" spans="1:13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55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</row>
    <row r="5" spans="1:13" ht="15" x14ac:dyDescent="0.2">
      <c r="A5" s="32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</row>
    <row r="7" spans="1:13" ht="1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30">
        <v>10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</row>
    <row r="8" spans="1:13" ht="14.25" x14ac:dyDescent="0.2">
      <c r="A8" s="31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</row>
    <row r="9" spans="1:13" ht="1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30">
        <v>22</v>
      </c>
      <c r="J9" s="29">
        <v>0</v>
      </c>
      <c r="K9" s="29">
        <v>0</v>
      </c>
      <c r="L9" s="29">
        <v>0</v>
      </c>
      <c r="M9" s="29">
        <v>0</v>
      </c>
    </row>
    <row r="10" spans="1:13" ht="1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5</v>
      </c>
      <c r="H10" s="29">
        <v>0</v>
      </c>
      <c r="I10" s="30">
        <v>29</v>
      </c>
      <c r="J10" s="29">
        <v>0</v>
      </c>
      <c r="K10" s="29">
        <v>0</v>
      </c>
      <c r="L10" s="29">
        <v>0</v>
      </c>
      <c r="M10" s="29">
        <v>0</v>
      </c>
    </row>
    <row r="11" spans="1:13" ht="15" x14ac:dyDescent="0.2">
      <c r="A11" s="32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3</v>
      </c>
      <c r="J11" s="29">
        <v>0</v>
      </c>
      <c r="K11" s="29">
        <v>0</v>
      </c>
      <c r="L11" s="29">
        <v>0</v>
      </c>
      <c r="M11" s="29">
        <v>0</v>
      </c>
    </row>
    <row r="12" spans="1:13" ht="15" x14ac:dyDescent="0.2">
      <c r="A12" s="32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</row>
    <row r="13" spans="1:13" ht="15" x14ac:dyDescent="0.2">
      <c r="A13" s="32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30">
        <v>2</v>
      </c>
      <c r="K13" s="29">
        <v>0</v>
      </c>
      <c r="L13" s="29">
        <v>0</v>
      </c>
      <c r="M13" s="29">
        <v>0</v>
      </c>
    </row>
    <row r="14" spans="1:13" ht="15" x14ac:dyDescent="0.2">
      <c r="A14" s="32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30">
        <v>91</v>
      </c>
      <c r="I14" s="30">
        <v>71</v>
      </c>
      <c r="J14" s="29">
        <v>0</v>
      </c>
      <c r="K14" s="29">
        <v>0</v>
      </c>
      <c r="L14" s="29">
        <v>0</v>
      </c>
      <c r="M14" s="29">
        <v>0</v>
      </c>
    </row>
    <row r="15" spans="1:13" ht="15" x14ac:dyDescent="0.2">
      <c r="A15" s="32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30">
        <v>48</v>
      </c>
      <c r="I15" s="29">
        <v>0</v>
      </c>
      <c r="J15" s="29">
        <v>39</v>
      </c>
      <c r="K15" s="29">
        <v>0</v>
      </c>
      <c r="L15" s="29">
        <v>0</v>
      </c>
      <c r="M15" s="29">
        <v>0</v>
      </c>
    </row>
    <row r="16" spans="1:13" ht="15" x14ac:dyDescent="0.2">
      <c r="A16" s="32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8</v>
      </c>
      <c r="H16" s="29">
        <v>73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</row>
    <row r="17" spans="1:13" ht="15" x14ac:dyDescent="0.2">
      <c r="A17" s="32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30">
        <v>11</v>
      </c>
      <c r="H17" s="29">
        <v>53</v>
      </c>
      <c r="I17" s="29">
        <v>9</v>
      </c>
      <c r="J17" s="30">
        <v>17</v>
      </c>
      <c r="K17" s="29">
        <v>0</v>
      </c>
      <c r="L17" s="29">
        <v>0</v>
      </c>
      <c r="M17" s="29">
        <v>0</v>
      </c>
    </row>
    <row r="18" spans="1:13" ht="1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30">
        <v>37</v>
      </c>
      <c r="H18" s="29">
        <v>0</v>
      </c>
      <c r="I18" s="29">
        <v>0</v>
      </c>
      <c r="J18" s="30">
        <v>13</v>
      </c>
      <c r="K18" s="29">
        <v>0</v>
      </c>
      <c r="L18" s="29">
        <v>0</v>
      </c>
      <c r="M18" s="29">
        <v>0</v>
      </c>
    </row>
    <row r="19" spans="1:13" ht="15" x14ac:dyDescent="0.2">
      <c r="A19" s="32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30">
        <v>10</v>
      </c>
      <c r="K19" s="29">
        <v>36</v>
      </c>
      <c r="L19" s="29">
        <v>0</v>
      </c>
      <c r="M19" s="29">
        <v>0</v>
      </c>
    </row>
    <row r="20" spans="1:13" ht="15" x14ac:dyDescent="0.2">
      <c r="A20" s="32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</row>
    <row r="21" spans="1:13" ht="15" x14ac:dyDescent="0.2">
      <c r="A21" s="32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</row>
    <row r="22" spans="1:13" ht="15" x14ac:dyDescent="0.2">
      <c r="A22" s="32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</row>
    <row r="23" spans="1:13" ht="15" x14ac:dyDescent="0.2">
      <c r="A23" s="32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30">
        <v>22</v>
      </c>
      <c r="K23" s="29">
        <v>0</v>
      </c>
      <c r="L23" s="29">
        <v>0</v>
      </c>
      <c r="M23" s="29">
        <v>0</v>
      </c>
    </row>
    <row r="24" spans="1:13" ht="15" x14ac:dyDescent="0.2">
      <c r="A24" s="32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30">
        <v>34</v>
      </c>
      <c r="K24" s="29">
        <v>0</v>
      </c>
      <c r="L24" s="29">
        <v>0</v>
      </c>
      <c r="M24" s="29">
        <v>0</v>
      </c>
    </row>
    <row r="25" spans="1:13" ht="15" x14ac:dyDescent="0.2">
      <c r="A25" s="32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30">
        <v>1</v>
      </c>
      <c r="J25" s="29">
        <v>0</v>
      </c>
      <c r="K25" s="29">
        <v>0</v>
      </c>
      <c r="L25" s="29">
        <v>0</v>
      </c>
      <c r="M25" s="29">
        <v>0</v>
      </c>
    </row>
    <row r="26" spans="1:13" ht="15" x14ac:dyDescent="0.2">
      <c r="A26" s="32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9</v>
      </c>
      <c r="K26" s="29">
        <v>0</v>
      </c>
      <c r="L26" s="29">
        <v>0</v>
      </c>
      <c r="M26" s="29">
        <v>0</v>
      </c>
    </row>
    <row r="27" spans="1:13" ht="15" x14ac:dyDescent="0.2">
      <c r="A27" s="32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30">
        <v>20</v>
      </c>
      <c r="J27" s="30">
        <v>20</v>
      </c>
      <c r="K27" s="29">
        <v>0</v>
      </c>
      <c r="L27" s="29">
        <v>0</v>
      </c>
      <c r="M27" s="29">
        <v>0</v>
      </c>
    </row>
    <row r="28" spans="1:13" ht="15" x14ac:dyDescent="0.2">
      <c r="A28" s="32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30">
        <v>15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</row>
    <row r="29" spans="1:13" ht="15" x14ac:dyDescent="0.2">
      <c r="A29" s="32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30">
        <v>32</v>
      </c>
      <c r="J29" s="29">
        <v>0</v>
      </c>
      <c r="K29" s="29">
        <v>0</v>
      </c>
      <c r="L29" s="29">
        <v>0</v>
      </c>
      <c r="M29" s="29">
        <v>0</v>
      </c>
    </row>
    <row r="30" spans="1:13" ht="15" x14ac:dyDescent="0.2">
      <c r="A30" s="32">
        <v>29</v>
      </c>
      <c r="B30" s="29">
        <v>0</v>
      </c>
      <c r="C30" s="80"/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5" x14ac:dyDescent="0.2">
      <c r="A31" s="31">
        <v>30</v>
      </c>
      <c r="B31" s="29">
        <v>0</v>
      </c>
      <c r="C31" s="80"/>
      <c r="D31" s="29">
        <v>0</v>
      </c>
      <c r="E31" s="29">
        <v>0</v>
      </c>
      <c r="F31" s="29">
        <v>0</v>
      </c>
      <c r="G31" s="30">
        <v>19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</row>
    <row r="32" spans="1:13" ht="15" x14ac:dyDescent="0.2">
      <c r="A32" s="32">
        <v>31</v>
      </c>
      <c r="B32" s="29">
        <v>0</v>
      </c>
      <c r="C32" s="80"/>
      <c r="D32" s="29">
        <v>0</v>
      </c>
      <c r="E32" s="80"/>
      <c r="F32" s="29">
        <v>0</v>
      </c>
      <c r="G32" s="80"/>
      <c r="H32" s="29">
        <v>0</v>
      </c>
      <c r="I32" s="29">
        <v>0</v>
      </c>
      <c r="J32" s="80"/>
      <c r="K32" s="29">
        <v>0</v>
      </c>
      <c r="L32" s="80"/>
      <c r="M32" s="29">
        <v>0</v>
      </c>
    </row>
    <row r="33" spans="1:19" x14ac:dyDescent="0.2">
      <c r="A33" s="63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9" ht="15" x14ac:dyDescent="0.2">
      <c r="A34" s="27" t="s">
        <v>78</v>
      </c>
      <c r="B34" s="79">
        <v>0</v>
      </c>
      <c r="C34" s="79">
        <v>0</v>
      </c>
      <c r="D34" s="79">
        <v>0</v>
      </c>
      <c r="E34" s="79">
        <v>0</v>
      </c>
      <c r="F34" s="79">
        <v>0</v>
      </c>
      <c r="G34" s="30">
        <v>105</v>
      </c>
      <c r="H34" s="30">
        <v>320</v>
      </c>
      <c r="I34" s="30">
        <v>187</v>
      </c>
      <c r="J34" s="30">
        <v>166</v>
      </c>
      <c r="K34" s="30">
        <v>41</v>
      </c>
      <c r="L34" s="79">
        <v>0</v>
      </c>
      <c r="M34" s="79">
        <v>0</v>
      </c>
    </row>
    <row r="35" spans="1:19" ht="15" x14ac:dyDescent="0.2">
      <c r="A35" s="27" t="s">
        <v>76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7</v>
      </c>
      <c r="H35" s="75">
        <v>5</v>
      </c>
      <c r="I35" s="75">
        <v>7</v>
      </c>
      <c r="J35" s="75">
        <v>8</v>
      </c>
      <c r="K35" s="75">
        <v>2</v>
      </c>
      <c r="L35" s="75">
        <v>0</v>
      </c>
      <c r="M35" s="75">
        <v>0</v>
      </c>
    </row>
    <row r="36" spans="1:19" ht="28.5" x14ac:dyDescent="0.2">
      <c r="A36" s="27" t="s">
        <v>77</v>
      </c>
      <c r="B36" s="32">
        <v>31</v>
      </c>
      <c r="C36" s="32">
        <v>28</v>
      </c>
      <c r="D36" s="32">
        <v>31</v>
      </c>
      <c r="E36" s="75">
        <v>30</v>
      </c>
      <c r="F36" s="32">
        <v>31</v>
      </c>
      <c r="G36" s="75">
        <v>30</v>
      </c>
      <c r="H36" s="32">
        <v>31</v>
      </c>
      <c r="I36" s="32">
        <v>31</v>
      </c>
      <c r="J36" s="75">
        <v>30</v>
      </c>
      <c r="K36" s="32">
        <v>31</v>
      </c>
      <c r="L36" s="75">
        <v>30</v>
      </c>
      <c r="M36" s="32">
        <v>31</v>
      </c>
    </row>
    <row r="37" spans="1:19" x14ac:dyDescent="0.2">
      <c r="A37" s="6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1:19" ht="12.75" customHeight="1" x14ac:dyDescent="0.2">
      <c r="A38" s="4" t="s">
        <v>16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12.75" customHeight="1" x14ac:dyDescent="0.2">
      <c r="A39" s="4" t="s">
        <v>17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40A2-6138-4C71-AA75-14C252DD2550}">
  <dimension ref="A1:O39"/>
  <sheetViews>
    <sheetView topLeftCell="A8" workbookViewId="0">
      <selection activeCell="A34" sqref="A34:A36"/>
    </sheetView>
  </sheetViews>
  <sheetFormatPr defaultRowHeight="12.75" x14ac:dyDescent="0.2"/>
  <cols>
    <col min="1" max="1" width="29" customWidth="1"/>
  </cols>
  <sheetData>
    <row r="1" spans="1:15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  <c r="N1" s="45"/>
      <c r="O1" s="45"/>
    </row>
    <row r="2" spans="1:15" ht="15" x14ac:dyDescent="0.2">
      <c r="A2" s="31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30">
        <v>15</v>
      </c>
      <c r="J2" s="29">
        <v>0</v>
      </c>
      <c r="K2" s="29">
        <v>0</v>
      </c>
      <c r="L2" s="29">
        <v>0</v>
      </c>
      <c r="M2" s="29">
        <v>0</v>
      </c>
      <c r="N2" s="42"/>
      <c r="O2" s="42"/>
    </row>
    <row r="3" spans="1:15" ht="15" x14ac:dyDescent="0.2">
      <c r="A3" s="75">
        <v>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8</v>
      </c>
      <c r="J3" s="29">
        <v>0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42"/>
      <c r="O4" s="42"/>
    </row>
    <row r="5" spans="1:15" ht="15" x14ac:dyDescent="0.2">
      <c r="A5" s="32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30">
        <v>12</v>
      </c>
      <c r="L5" s="29">
        <v>0</v>
      </c>
      <c r="M5" s="29">
        <v>0</v>
      </c>
      <c r="N5" s="42"/>
      <c r="O5" s="42"/>
    </row>
    <row r="6" spans="1:15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42"/>
      <c r="O6" s="42"/>
    </row>
    <row r="7" spans="1:15" ht="1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30">
        <v>14</v>
      </c>
      <c r="I7" s="29">
        <v>0</v>
      </c>
      <c r="J7" s="29">
        <v>0</v>
      </c>
      <c r="K7" s="29">
        <v>0</v>
      </c>
      <c r="L7" s="29">
        <v>0</v>
      </c>
      <c r="M7" s="30">
        <v>31</v>
      </c>
      <c r="N7" s="42"/>
      <c r="O7" s="42"/>
    </row>
    <row r="8" spans="1:15" ht="14.25" x14ac:dyDescent="0.2">
      <c r="A8" s="31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75</v>
      </c>
      <c r="J8" s="29">
        <v>0</v>
      </c>
      <c r="K8" s="29">
        <v>0</v>
      </c>
      <c r="L8" s="29">
        <v>0</v>
      </c>
      <c r="M8" s="29">
        <v>6</v>
      </c>
      <c r="N8" s="42"/>
      <c r="O8" s="42"/>
    </row>
    <row r="9" spans="1:15" ht="1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30">
        <v>4</v>
      </c>
      <c r="I9" s="30">
        <v>49</v>
      </c>
      <c r="J9" s="30">
        <v>25</v>
      </c>
      <c r="K9" s="29">
        <v>0</v>
      </c>
      <c r="L9" s="29">
        <v>0</v>
      </c>
      <c r="M9" s="29">
        <v>0</v>
      </c>
      <c r="N9" s="42"/>
      <c r="O9" s="42"/>
    </row>
    <row r="10" spans="1:15" ht="1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30">
        <v>2</v>
      </c>
      <c r="I10" s="30">
        <v>1</v>
      </c>
      <c r="J10" s="30">
        <v>64</v>
      </c>
      <c r="K10" s="29">
        <v>0</v>
      </c>
      <c r="L10" s="29">
        <v>0</v>
      </c>
      <c r="M10" s="29">
        <v>0</v>
      </c>
      <c r="N10" s="42"/>
      <c r="O10" s="42"/>
    </row>
    <row r="11" spans="1:15" ht="15" x14ac:dyDescent="0.2">
      <c r="A11" s="32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78</v>
      </c>
      <c r="K11" s="29">
        <v>0</v>
      </c>
      <c r="L11" s="29">
        <v>0</v>
      </c>
      <c r="M11" s="29">
        <v>0</v>
      </c>
      <c r="N11" s="42"/>
      <c r="O11" s="42"/>
    </row>
    <row r="12" spans="1:15" ht="15" x14ac:dyDescent="0.2">
      <c r="A12" s="32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30">
        <v>22</v>
      </c>
      <c r="K12" s="29">
        <v>0</v>
      </c>
      <c r="L12" s="29">
        <v>0</v>
      </c>
      <c r="M12" s="29">
        <v>0</v>
      </c>
      <c r="N12" s="42"/>
      <c r="O12" s="42"/>
    </row>
    <row r="13" spans="1:15" ht="15" x14ac:dyDescent="0.2">
      <c r="A13" s="32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42"/>
      <c r="O13" s="42"/>
    </row>
    <row r="14" spans="1:15" ht="1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30">
        <v>25</v>
      </c>
      <c r="I14" s="29">
        <v>8</v>
      </c>
      <c r="J14" s="29">
        <v>0</v>
      </c>
      <c r="K14" s="29">
        <v>0</v>
      </c>
      <c r="L14" s="29">
        <v>0</v>
      </c>
      <c r="M14" s="29">
        <v>0</v>
      </c>
      <c r="N14" s="42"/>
      <c r="O14" s="42"/>
    </row>
    <row r="15" spans="1:15" ht="15" x14ac:dyDescent="0.2">
      <c r="A15" s="32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30">
        <v>10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42"/>
      <c r="O15" s="42"/>
    </row>
    <row r="16" spans="1:15" ht="15" x14ac:dyDescent="0.2">
      <c r="A16" s="32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30">
        <v>0.1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42"/>
      <c r="O16" s="42"/>
    </row>
    <row r="17" spans="1:15" ht="15" x14ac:dyDescent="0.2">
      <c r="A17" s="32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42"/>
      <c r="O17" s="42"/>
    </row>
    <row r="18" spans="1:15" ht="15" x14ac:dyDescent="0.2">
      <c r="A18" s="32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7</v>
      </c>
      <c r="I18" s="30">
        <v>2</v>
      </c>
      <c r="J18" s="29">
        <v>0</v>
      </c>
      <c r="K18" s="29">
        <v>0</v>
      </c>
      <c r="L18" s="29">
        <v>0</v>
      </c>
      <c r="M18" s="29">
        <v>0</v>
      </c>
      <c r="N18" s="42"/>
      <c r="O18" s="42"/>
    </row>
    <row r="19" spans="1:15" ht="15" x14ac:dyDescent="0.2">
      <c r="A19" s="32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30">
        <v>23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5" x14ac:dyDescent="0.2">
      <c r="A21" s="32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6</v>
      </c>
      <c r="K21" s="29">
        <v>0</v>
      </c>
      <c r="L21" s="29">
        <v>0</v>
      </c>
      <c r="M21" s="29">
        <v>0</v>
      </c>
      <c r="N21" s="42"/>
      <c r="O21" s="42"/>
    </row>
    <row r="22" spans="1:15" ht="15" x14ac:dyDescent="0.2">
      <c r="A22" s="32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5" x14ac:dyDescent="0.2">
      <c r="A23" s="32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5" x14ac:dyDescent="0.2">
      <c r="A24" s="32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37</v>
      </c>
      <c r="I24" s="29">
        <v>6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5" x14ac:dyDescent="0.2">
      <c r="A25" s="32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30">
        <v>1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5" x14ac:dyDescent="0.2">
      <c r="A26" s="32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26</v>
      </c>
      <c r="I26" s="30">
        <v>175</v>
      </c>
      <c r="J26" s="29">
        <v>0</v>
      </c>
      <c r="K26" s="29">
        <v>39</v>
      </c>
      <c r="L26" s="29">
        <v>0</v>
      </c>
      <c r="M26" s="29">
        <v>0</v>
      </c>
      <c r="N26" s="42"/>
      <c r="O26" s="42"/>
    </row>
    <row r="27" spans="1:15" ht="15" x14ac:dyDescent="0.2">
      <c r="A27" s="32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8</v>
      </c>
      <c r="I27" s="30">
        <v>1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5" x14ac:dyDescent="0.2">
      <c r="A28" s="32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30">
        <v>59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5" x14ac:dyDescent="0.2">
      <c r="A29" s="32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30">
        <v>2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5" x14ac:dyDescent="0.2">
      <c r="A30" s="32">
        <v>29</v>
      </c>
      <c r="B30" s="29">
        <v>0</v>
      </c>
      <c r="C30" s="48"/>
      <c r="D30" s="29">
        <v>0</v>
      </c>
      <c r="E30" s="29">
        <v>0</v>
      </c>
      <c r="F30" s="29">
        <v>0</v>
      </c>
      <c r="G30" s="29">
        <v>0</v>
      </c>
      <c r="H30" s="30">
        <v>21</v>
      </c>
      <c r="I30" s="29">
        <v>7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5" x14ac:dyDescent="0.2">
      <c r="A31" s="31">
        <v>30</v>
      </c>
      <c r="B31" s="29">
        <v>0</v>
      </c>
      <c r="C31" s="48"/>
      <c r="D31" s="29">
        <v>0</v>
      </c>
      <c r="E31" s="29">
        <v>0</v>
      </c>
      <c r="F31" s="30">
        <v>0.1</v>
      </c>
      <c r="G31" s="29">
        <v>0</v>
      </c>
      <c r="H31" s="29">
        <v>7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5" x14ac:dyDescent="0.2">
      <c r="A32" s="31">
        <v>31</v>
      </c>
      <c r="B32" s="29">
        <v>0</v>
      </c>
      <c r="C32" s="48"/>
      <c r="D32" s="29">
        <v>0</v>
      </c>
      <c r="E32" s="48"/>
      <c r="F32" s="29">
        <v>0.3</v>
      </c>
      <c r="G32" s="48"/>
      <c r="H32" s="30">
        <v>43</v>
      </c>
      <c r="I32" s="29">
        <v>0</v>
      </c>
      <c r="J32" s="48"/>
      <c r="K32" s="29">
        <v>0</v>
      </c>
      <c r="L32" s="48"/>
      <c r="M32" s="29">
        <v>0</v>
      </c>
      <c r="N32" s="42"/>
      <c r="O32" s="42"/>
    </row>
    <row r="33" spans="1:15" ht="12.75" customHeight="1" x14ac:dyDescent="0.2">
      <c r="A33" s="5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12.75" customHeight="1" x14ac:dyDescent="0.2">
      <c r="A34" s="27" t="s">
        <v>78</v>
      </c>
      <c r="B34" s="29">
        <v>0</v>
      </c>
      <c r="C34" s="29">
        <v>0</v>
      </c>
      <c r="D34" s="29">
        <v>0</v>
      </c>
      <c r="E34" s="29">
        <v>0</v>
      </c>
      <c r="F34" s="29">
        <v>0.4</v>
      </c>
      <c r="G34" s="29">
        <v>0</v>
      </c>
      <c r="H34" s="30">
        <v>229.1</v>
      </c>
      <c r="I34" s="30">
        <v>407</v>
      </c>
      <c r="J34" s="30">
        <v>195</v>
      </c>
      <c r="K34" s="30">
        <v>51</v>
      </c>
      <c r="L34" s="29">
        <v>0</v>
      </c>
      <c r="M34" s="29">
        <v>37</v>
      </c>
      <c r="N34" s="42"/>
      <c r="O34" s="42"/>
    </row>
    <row r="35" spans="1:15" ht="12.75" customHeight="1" x14ac:dyDescent="0.2">
      <c r="A35" s="27" t="s">
        <v>76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2">
        <v>12</v>
      </c>
      <c r="I35" s="31">
        <v>9</v>
      </c>
      <c r="J35" s="31">
        <v>5</v>
      </c>
      <c r="K35" s="75">
        <v>2</v>
      </c>
      <c r="L35" s="31">
        <v>0</v>
      </c>
      <c r="M35" s="75">
        <v>2</v>
      </c>
      <c r="N35" s="45"/>
      <c r="O35" s="45"/>
    </row>
    <row r="36" spans="1:15" ht="30" customHeight="1" x14ac:dyDescent="0.2">
      <c r="A36" s="27" t="s">
        <v>77</v>
      </c>
      <c r="B36" s="31">
        <v>31</v>
      </c>
      <c r="C36" s="32">
        <v>28</v>
      </c>
      <c r="D36" s="31">
        <v>31</v>
      </c>
      <c r="E36" s="31">
        <v>30</v>
      </c>
      <c r="F36" s="31">
        <v>31</v>
      </c>
      <c r="G36" s="31">
        <v>30</v>
      </c>
      <c r="H36" s="31">
        <v>31</v>
      </c>
      <c r="I36" s="32">
        <v>31</v>
      </c>
      <c r="J36" s="31">
        <v>30</v>
      </c>
      <c r="K36" s="32">
        <v>31</v>
      </c>
      <c r="L36" s="31">
        <v>30</v>
      </c>
      <c r="M36" s="32">
        <v>31</v>
      </c>
      <c r="N36" s="42"/>
      <c r="O36" s="42"/>
    </row>
    <row r="37" spans="1:15" ht="12.75" customHeight="1" x14ac:dyDescent="0.2">
      <c r="A37" s="38"/>
      <c r="B37" s="76"/>
      <c r="C37" s="77"/>
      <c r="D37" s="76"/>
      <c r="E37" s="76"/>
      <c r="F37" s="76"/>
      <c r="G37" s="76"/>
      <c r="H37" s="76"/>
      <c r="I37" s="77"/>
      <c r="J37" s="76"/>
      <c r="K37" s="77"/>
      <c r="L37" s="76"/>
      <c r="M37" s="77"/>
      <c r="N37" s="42"/>
      <c r="O37" s="42"/>
    </row>
    <row r="38" spans="1:15" ht="12.75" customHeight="1" x14ac:dyDescent="0.2">
      <c r="A38" s="4" t="s">
        <v>14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2.75" customHeight="1" x14ac:dyDescent="0.2">
      <c r="A39" s="4" t="s">
        <v>15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486A-2AF2-40ED-A07D-565B3911B221}">
  <dimension ref="A1:T39"/>
  <sheetViews>
    <sheetView workbookViewId="0">
      <selection activeCell="A34" sqref="A34:A36"/>
    </sheetView>
  </sheetViews>
  <sheetFormatPr defaultRowHeight="12.75" x14ac:dyDescent="0.2"/>
  <cols>
    <col min="1" max="1" width="27.6640625" customWidth="1"/>
  </cols>
  <sheetData>
    <row r="1" spans="1:13" ht="15.75" x14ac:dyDescent="0.2">
      <c r="A1" s="51" t="s">
        <v>63</v>
      </c>
      <c r="B1" s="71" t="s">
        <v>99</v>
      </c>
      <c r="C1" s="51" t="s">
        <v>64</v>
      </c>
      <c r="D1" s="51" t="s">
        <v>53</v>
      </c>
      <c r="E1" s="51" t="s">
        <v>65</v>
      </c>
      <c r="F1" s="72" t="s">
        <v>91</v>
      </c>
      <c r="G1" s="71" t="s">
        <v>100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4.25" x14ac:dyDescent="0.2">
      <c r="A2" s="31">
        <v>1</v>
      </c>
      <c r="B2" s="29">
        <v>0</v>
      </c>
      <c r="C2" s="29">
        <v>0</v>
      </c>
      <c r="D2" s="29">
        <v>0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</row>
    <row r="3" spans="1:13" ht="14.25" x14ac:dyDescent="0.2">
      <c r="A3" s="31">
        <v>2</v>
      </c>
      <c r="B3" s="29">
        <v>0</v>
      </c>
      <c r="C3" s="29">
        <v>22.3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11</v>
      </c>
      <c r="K3" s="29">
        <v>0</v>
      </c>
      <c r="L3" s="29">
        <v>0</v>
      </c>
      <c r="M3" s="29">
        <v>0</v>
      </c>
    </row>
    <row r="4" spans="1:13" ht="15" x14ac:dyDescent="0.2">
      <c r="A4" s="31">
        <v>3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30">
        <v>28.4</v>
      </c>
      <c r="J4" s="29">
        <v>9</v>
      </c>
      <c r="K4" s="29">
        <v>0</v>
      </c>
      <c r="L4" s="29">
        <v>0</v>
      </c>
      <c r="M4" s="29">
        <v>0</v>
      </c>
    </row>
    <row r="5" spans="1:13" ht="14.25" x14ac:dyDescent="0.2">
      <c r="A5" s="31">
        <v>4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12</v>
      </c>
      <c r="J5" s="29">
        <v>11</v>
      </c>
      <c r="K5" s="29">
        <v>20</v>
      </c>
      <c r="L5" s="29">
        <v>0</v>
      </c>
      <c r="M5" s="29">
        <v>0</v>
      </c>
    </row>
    <row r="6" spans="1:13" ht="14.25" x14ac:dyDescent="0.2">
      <c r="A6" s="31">
        <v>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6</v>
      </c>
      <c r="J6" s="29">
        <v>67</v>
      </c>
      <c r="K6" s="29">
        <v>0</v>
      </c>
      <c r="L6" s="29">
        <v>0</v>
      </c>
      <c r="M6" s="29">
        <v>0</v>
      </c>
    </row>
    <row r="7" spans="1:13" ht="14.25" x14ac:dyDescent="0.2">
      <c r="A7" s="31">
        <v>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66.2</v>
      </c>
      <c r="J7" s="29">
        <v>0</v>
      </c>
      <c r="K7" s="29">
        <v>0</v>
      </c>
      <c r="L7" s="29">
        <v>0</v>
      </c>
      <c r="M7" s="29">
        <v>0</v>
      </c>
    </row>
    <row r="8" spans="1:13" ht="15" x14ac:dyDescent="0.2">
      <c r="A8" s="31">
        <v>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30">
        <v>24</v>
      </c>
      <c r="I8" s="29">
        <v>13.3</v>
      </c>
      <c r="J8" s="29">
        <v>0</v>
      </c>
      <c r="K8" s="29">
        <v>0</v>
      </c>
      <c r="L8" s="29">
        <v>0</v>
      </c>
      <c r="M8" s="29">
        <v>0</v>
      </c>
    </row>
    <row r="9" spans="1:13" ht="14.25" x14ac:dyDescent="0.2">
      <c r="A9" s="31">
        <v>8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35</v>
      </c>
      <c r="K9" s="29">
        <v>0</v>
      </c>
      <c r="L9" s="29">
        <v>0</v>
      </c>
      <c r="M9" s="29">
        <v>0</v>
      </c>
    </row>
    <row r="10" spans="1:13" ht="14.25" x14ac:dyDescent="0.2">
      <c r="A10" s="31">
        <v>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2</v>
      </c>
      <c r="K10" s="29">
        <v>0</v>
      </c>
      <c r="L10" s="29">
        <v>0</v>
      </c>
      <c r="M10" s="29">
        <v>0</v>
      </c>
    </row>
    <row r="11" spans="1:13" ht="14.25" x14ac:dyDescent="0.2">
      <c r="A11" s="31">
        <v>10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</row>
    <row r="12" spans="1:13" ht="14.25" x14ac:dyDescent="0.2">
      <c r="A12" s="31">
        <v>11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9.4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</row>
    <row r="13" spans="1:13" ht="14.25" x14ac:dyDescent="0.2">
      <c r="A13" s="31">
        <v>12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</row>
    <row r="14" spans="1:13" ht="14.25" x14ac:dyDescent="0.2">
      <c r="A14" s="31">
        <v>13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</row>
    <row r="15" spans="1:13" ht="15" x14ac:dyDescent="0.2">
      <c r="A15" s="32">
        <v>14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</row>
    <row r="16" spans="1:13" ht="15" x14ac:dyDescent="0.2">
      <c r="A16" s="31">
        <v>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18</v>
      </c>
      <c r="H16" s="30">
        <v>24.5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</row>
    <row r="17" spans="1:13" ht="14.25" x14ac:dyDescent="0.2">
      <c r="A17" s="31">
        <v>16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5.2</v>
      </c>
      <c r="I17" s="29">
        <v>0</v>
      </c>
      <c r="J17" s="29">
        <v>7</v>
      </c>
      <c r="K17" s="29">
        <v>0</v>
      </c>
      <c r="L17" s="29">
        <v>0</v>
      </c>
      <c r="M17" s="29">
        <v>0</v>
      </c>
    </row>
    <row r="18" spans="1:13" ht="15" x14ac:dyDescent="0.2">
      <c r="A18" s="31">
        <v>17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30">
        <v>21.2</v>
      </c>
      <c r="J18" s="29">
        <v>3</v>
      </c>
      <c r="K18" s="29">
        <v>0</v>
      </c>
      <c r="L18" s="29">
        <v>0</v>
      </c>
      <c r="M18" s="29">
        <v>0</v>
      </c>
    </row>
    <row r="19" spans="1:13" ht="14.25" x14ac:dyDescent="0.2">
      <c r="A19" s="31">
        <v>18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46</v>
      </c>
      <c r="J19" s="29">
        <v>0</v>
      </c>
      <c r="K19" s="29">
        <v>0</v>
      </c>
      <c r="L19" s="29">
        <v>0</v>
      </c>
      <c r="M19" s="29">
        <v>0</v>
      </c>
    </row>
    <row r="20" spans="1:13" ht="14.25" x14ac:dyDescent="0.2">
      <c r="A20" s="31">
        <v>19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29</v>
      </c>
      <c r="H20" s="29">
        <v>0</v>
      </c>
      <c r="I20" s="29">
        <v>80</v>
      </c>
      <c r="J20" s="29">
        <v>0</v>
      </c>
      <c r="K20" s="29">
        <v>0</v>
      </c>
      <c r="L20" s="29">
        <v>0</v>
      </c>
      <c r="M20" s="29">
        <v>0</v>
      </c>
    </row>
    <row r="21" spans="1:13" ht="14.25" x14ac:dyDescent="0.2">
      <c r="A21" s="31">
        <v>20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61</v>
      </c>
      <c r="J21" s="29">
        <v>0</v>
      </c>
      <c r="K21" s="29">
        <v>0</v>
      </c>
      <c r="L21" s="29">
        <v>0</v>
      </c>
      <c r="M21" s="29">
        <v>0</v>
      </c>
    </row>
    <row r="22" spans="1:13" ht="15" x14ac:dyDescent="0.2">
      <c r="A22" s="32">
        <v>21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38</v>
      </c>
      <c r="J22" s="29">
        <v>0</v>
      </c>
      <c r="K22" s="29">
        <v>0</v>
      </c>
      <c r="L22" s="29">
        <v>0</v>
      </c>
      <c r="M22" s="29">
        <v>0</v>
      </c>
    </row>
    <row r="23" spans="1:13" ht="14.25" x14ac:dyDescent="0.2">
      <c r="A23" s="31">
        <v>22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32</v>
      </c>
      <c r="I23" s="29">
        <v>89</v>
      </c>
      <c r="J23" s="29">
        <v>0</v>
      </c>
      <c r="K23" s="29">
        <v>0</v>
      </c>
      <c r="L23" s="29">
        <v>0</v>
      </c>
      <c r="M23" s="29">
        <v>0</v>
      </c>
    </row>
    <row r="24" spans="1:13" ht="14.25" x14ac:dyDescent="0.2">
      <c r="A24" s="31">
        <v>23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50</v>
      </c>
      <c r="I24" s="29">
        <v>65</v>
      </c>
      <c r="J24" s="29">
        <v>0</v>
      </c>
      <c r="K24" s="29">
        <v>0</v>
      </c>
      <c r="L24" s="29">
        <v>0</v>
      </c>
      <c r="M24" s="29">
        <v>0</v>
      </c>
    </row>
    <row r="25" spans="1:13" ht="15" x14ac:dyDescent="0.2">
      <c r="A25" s="32">
        <v>24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7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</row>
    <row r="26" spans="1:13" ht="15" x14ac:dyDescent="0.2">
      <c r="A26" s="32">
        <v>25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68</v>
      </c>
      <c r="J26" s="29">
        <v>0</v>
      </c>
      <c r="K26" s="29">
        <v>0</v>
      </c>
      <c r="L26" s="29">
        <v>0</v>
      </c>
      <c r="M26" s="29">
        <v>0</v>
      </c>
    </row>
    <row r="27" spans="1:13" ht="14.25" x14ac:dyDescent="0.2">
      <c r="A27" s="31">
        <v>26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33</v>
      </c>
      <c r="I27" s="29">
        <v>46</v>
      </c>
      <c r="J27" s="29">
        <v>0</v>
      </c>
      <c r="K27" s="29">
        <v>0</v>
      </c>
      <c r="L27" s="29">
        <v>0</v>
      </c>
      <c r="M27" s="29">
        <v>0</v>
      </c>
    </row>
    <row r="28" spans="1:13" ht="15" x14ac:dyDescent="0.2">
      <c r="A28" s="31">
        <v>27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62</v>
      </c>
      <c r="I28" s="30">
        <v>4</v>
      </c>
      <c r="J28" s="29">
        <v>0</v>
      </c>
      <c r="K28" s="29">
        <v>0</v>
      </c>
      <c r="L28" s="29">
        <v>0</v>
      </c>
      <c r="M28" s="29">
        <v>0</v>
      </c>
    </row>
    <row r="29" spans="1:13" ht="14.25" x14ac:dyDescent="0.2">
      <c r="A29" s="31">
        <v>28</v>
      </c>
      <c r="B29" s="29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21</v>
      </c>
      <c r="J29" s="29">
        <v>0</v>
      </c>
      <c r="K29" s="29">
        <v>0</v>
      </c>
      <c r="L29" s="29">
        <v>0</v>
      </c>
      <c r="M29" s="29">
        <v>0</v>
      </c>
    </row>
    <row r="30" spans="1:13" ht="14.25" x14ac:dyDescent="0.2">
      <c r="A30" s="31">
        <v>29</v>
      </c>
      <c r="B30" s="29">
        <v>0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1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</row>
    <row r="31" spans="1:13" ht="15" x14ac:dyDescent="0.2">
      <c r="A31" s="31">
        <v>30</v>
      </c>
      <c r="B31" s="29">
        <v>0</v>
      </c>
      <c r="C31" s="48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6</v>
      </c>
      <c r="J31" s="29">
        <v>0</v>
      </c>
      <c r="K31" s="29">
        <v>0</v>
      </c>
      <c r="L31" s="29">
        <v>0</v>
      </c>
      <c r="M31" s="29">
        <v>0</v>
      </c>
    </row>
    <row r="32" spans="1:13" ht="15" x14ac:dyDescent="0.2">
      <c r="A32" s="31">
        <v>31</v>
      </c>
      <c r="B32" s="29">
        <v>0</v>
      </c>
      <c r="C32" s="48"/>
      <c r="D32" s="29">
        <v>0</v>
      </c>
      <c r="E32" s="48"/>
      <c r="F32" s="29">
        <v>0</v>
      </c>
      <c r="G32" s="48"/>
      <c r="H32" s="29">
        <v>0</v>
      </c>
      <c r="I32" s="29">
        <v>78</v>
      </c>
      <c r="J32" s="48"/>
      <c r="K32" s="29">
        <v>0</v>
      </c>
      <c r="L32" s="48"/>
      <c r="M32" s="29">
        <v>0</v>
      </c>
    </row>
    <row r="33" spans="1:20" x14ac:dyDescent="0.2">
      <c r="A33" s="6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20" ht="14.25" x14ac:dyDescent="0.2">
      <c r="A34" s="27" t="s">
        <v>78</v>
      </c>
      <c r="B34" s="24">
        <v>0</v>
      </c>
      <c r="C34" s="24">
        <v>22.3</v>
      </c>
      <c r="D34" s="24">
        <v>0</v>
      </c>
      <c r="E34" s="24">
        <v>0</v>
      </c>
      <c r="F34" s="24">
        <v>0</v>
      </c>
      <c r="G34" s="24">
        <v>47</v>
      </c>
      <c r="H34" s="10">
        <v>248.1</v>
      </c>
      <c r="I34" s="24">
        <v>749.1</v>
      </c>
      <c r="J34" s="24">
        <v>145</v>
      </c>
      <c r="K34" s="24">
        <v>20</v>
      </c>
      <c r="L34" s="24">
        <v>0</v>
      </c>
      <c r="M34" s="24">
        <v>0</v>
      </c>
    </row>
    <row r="35" spans="1:20" ht="14.25" x14ac:dyDescent="0.2">
      <c r="A35" s="27" t="s">
        <v>76</v>
      </c>
      <c r="B35" s="25">
        <v>0</v>
      </c>
      <c r="C35" s="46"/>
      <c r="D35" s="25">
        <v>0</v>
      </c>
      <c r="E35" s="25">
        <v>0</v>
      </c>
      <c r="F35" s="25">
        <v>0</v>
      </c>
      <c r="G35" s="25">
        <v>2</v>
      </c>
      <c r="H35" s="25">
        <v>9</v>
      </c>
      <c r="I35" s="25">
        <v>18</v>
      </c>
      <c r="J35" s="25">
        <v>7</v>
      </c>
      <c r="K35" s="46"/>
      <c r="L35" s="25">
        <v>0</v>
      </c>
      <c r="M35" s="25">
        <v>0</v>
      </c>
    </row>
    <row r="36" spans="1:20" ht="28.5" x14ac:dyDescent="0.2">
      <c r="A36" s="27" t="s">
        <v>77</v>
      </c>
      <c r="B36" s="25">
        <v>31</v>
      </c>
      <c r="C36" s="25">
        <v>29</v>
      </c>
      <c r="D36" s="25">
        <v>31</v>
      </c>
      <c r="E36" s="25">
        <v>30</v>
      </c>
      <c r="F36" s="25">
        <v>31</v>
      </c>
      <c r="G36" s="25">
        <v>30</v>
      </c>
      <c r="H36" s="25">
        <v>31</v>
      </c>
      <c r="I36" s="25">
        <v>31</v>
      </c>
      <c r="J36" s="25">
        <v>30</v>
      </c>
      <c r="K36" s="25">
        <v>31</v>
      </c>
      <c r="L36" s="25">
        <v>30</v>
      </c>
      <c r="M36" s="25">
        <v>31</v>
      </c>
    </row>
    <row r="37" spans="1:20" x14ac:dyDescent="0.2">
      <c r="A37" s="74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</row>
    <row r="38" spans="1:20" ht="12.75" customHeight="1" x14ac:dyDescent="0.2">
      <c r="A38" s="38" t="s">
        <v>12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spans="1:20" ht="12.75" customHeight="1" x14ac:dyDescent="0.2">
      <c r="A39" s="38" t="s">
        <v>13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</sheetData>
  <pageMargins left="0.7" right="0.7" top="0.75" bottom="0.75" header="0.3" footer="0.3"/>
  <pageSetup paperSize="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09E3-0BD0-4345-BF96-3D910A40E30B}">
  <dimension ref="A1:U40"/>
  <sheetViews>
    <sheetView topLeftCell="A7" workbookViewId="0">
      <selection activeCell="A35" sqref="A35:A37"/>
    </sheetView>
  </sheetViews>
  <sheetFormatPr defaultRowHeight="12.75" x14ac:dyDescent="0.2"/>
  <cols>
    <col min="1" max="1" width="23.33203125" customWidth="1"/>
  </cols>
  <sheetData>
    <row r="1" spans="1:13" x14ac:dyDescent="0.2">
      <c r="A1" s="70" t="s">
        <v>87</v>
      </c>
      <c r="B1" s="62" t="s">
        <v>2</v>
      </c>
      <c r="C1" s="62" t="s">
        <v>88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22</v>
      </c>
      <c r="J1" s="62" t="s">
        <v>89</v>
      </c>
      <c r="K1" s="62" t="s">
        <v>23</v>
      </c>
      <c r="L1" s="62" t="s">
        <v>0</v>
      </c>
      <c r="M1" s="62" t="s">
        <v>90</v>
      </c>
    </row>
    <row r="2" spans="1:13" x14ac:dyDescent="0.2">
      <c r="A2" s="25">
        <v>1</v>
      </c>
      <c r="B2" s="24">
        <v>0</v>
      </c>
      <c r="C2" s="24">
        <v>0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5.2</v>
      </c>
      <c r="J2" s="24">
        <v>0</v>
      </c>
      <c r="K2" s="24">
        <v>0</v>
      </c>
      <c r="L2" s="24">
        <v>0</v>
      </c>
      <c r="M2" s="24">
        <v>0</v>
      </c>
    </row>
    <row r="3" spans="1:13" x14ac:dyDescent="0.2">
      <c r="A3" s="25">
        <v>2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73</v>
      </c>
      <c r="J3" s="24">
        <v>7</v>
      </c>
      <c r="K3" s="24">
        <v>0</v>
      </c>
      <c r="L3" s="24">
        <v>0</v>
      </c>
      <c r="M3" s="24">
        <v>0</v>
      </c>
    </row>
    <row r="4" spans="1:13" x14ac:dyDescent="0.2">
      <c r="A4" s="25">
        <v>3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22</v>
      </c>
      <c r="J4" s="24">
        <v>2</v>
      </c>
      <c r="K4" s="24">
        <v>0</v>
      </c>
      <c r="L4" s="24">
        <v>0</v>
      </c>
      <c r="M4" s="24">
        <v>0</v>
      </c>
    </row>
    <row r="5" spans="1:13" x14ac:dyDescent="0.2">
      <c r="A5" s="25">
        <v>4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5</v>
      </c>
      <c r="J5" s="24">
        <v>50</v>
      </c>
      <c r="K5" s="24">
        <v>0</v>
      </c>
      <c r="L5" s="24">
        <v>0</v>
      </c>
      <c r="M5" s="24">
        <v>0</v>
      </c>
    </row>
    <row r="6" spans="1:13" x14ac:dyDescent="0.2">
      <c r="A6" s="25">
        <v>5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2.6</v>
      </c>
      <c r="J6" s="24">
        <v>0</v>
      </c>
      <c r="K6" s="24">
        <v>0</v>
      </c>
      <c r="L6" s="24">
        <v>0</v>
      </c>
      <c r="M6" s="24">
        <v>0</v>
      </c>
    </row>
    <row r="7" spans="1:13" x14ac:dyDescent="0.2">
      <c r="A7" s="25">
        <v>6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9</v>
      </c>
      <c r="J7" s="24">
        <v>0</v>
      </c>
      <c r="K7" s="24">
        <v>0</v>
      </c>
      <c r="L7" s="24">
        <v>0</v>
      </c>
      <c r="M7" s="24">
        <v>0</v>
      </c>
    </row>
    <row r="8" spans="1:13" x14ac:dyDescent="0.2">
      <c r="A8" s="25">
        <v>7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27.2</v>
      </c>
      <c r="J8" s="24">
        <v>0</v>
      </c>
      <c r="K8" s="24">
        <v>0</v>
      </c>
      <c r="L8" s="24">
        <v>0</v>
      </c>
      <c r="M8" s="24">
        <v>0</v>
      </c>
    </row>
    <row r="9" spans="1:13" x14ac:dyDescent="0.2">
      <c r="A9" s="25">
        <v>8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42.2</v>
      </c>
      <c r="J9" s="24">
        <v>0</v>
      </c>
      <c r="K9" s="24">
        <v>0</v>
      </c>
      <c r="L9" s="24">
        <v>0</v>
      </c>
      <c r="M9" s="24">
        <v>0</v>
      </c>
    </row>
    <row r="10" spans="1:13" x14ac:dyDescent="0.2">
      <c r="A10" s="25">
        <v>9</v>
      </c>
      <c r="B10" s="24">
        <v>0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1</v>
      </c>
      <c r="J10" s="24">
        <v>4</v>
      </c>
      <c r="K10" s="24">
        <v>0</v>
      </c>
      <c r="L10" s="24">
        <v>0</v>
      </c>
      <c r="M10" s="24">
        <v>0</v>
      </c>
    </row>
    <row r="11" spans="1:13" x14ac:dyDescent="0.2">
      <c r="A11" s="11">
        <v>10</v>
      </c>
      <c r="B11" s="24">
        <v>11.2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11.2</v>
      </c>
      <c r="I11" s="24">
        <v>8</v>
      </c>
      <c r="J11" s="24">
        <v>0</v>
      </c>
      <c r="K11" s="24">
        <v>0</v>
      </c>
      <c r="L11" s="24">
        <v>0</v>
      </c>
      <c r="M11" s="24">
        <v>0</v>
      </c>
    </row>
    <row r="12" spans="1:13" x14ac:dyDescent="0.2">
      <c r="A12" s="25">
        <v>11</v>
      </c>
      <c r="B12" s="24">
        <v>12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2.6</v>
      </c>
      <c r="I12" s="24">
        <v>13</v>
      </c>
      <c r="J12" s="24">
        <v>0</v>
      </c>
      <c r="K12" s="24">
        <v>0</v>
      </c>
      <c r="L12" s="24">
        <v>0</v>
      </c>
      <c r="M12" s="24">
        <v>0</v>
      </c>
    </row>
    <row r="13" spans="1:13" x14ac:dyDescent="0.2">
      <c r="A13" s="25">
        <v>12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23</v>
      </c>
      <c r="J13" s="24">
        <v>0</v>
      </c>
      <c r="K13" s="24">
        <v>0</v>
      </c>
      <c r="L13" s="24">
        <v>0</v>
      </c>
      <c r="M13" s="24">
        <v>0</v>
      </c>
    </row>
    <row r="14" spans="1:13" x14ac:dyDescent="0.2">
      <c r="A14" s="25">
        <v>13</v>
      </c>
      <c r="B14" s="24">
        <v>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15.6</v>
      </c>
      <c r="I14" s="24">
        <v>0</v>
      </c>
      <c r="J14" s="24">
        <v>5.4</v>
      </c>
      <c r="K14" s="24">
        <v>0</v>
      </c>
      <c r="L14" s="24">
        <v>0</v>
      </c>
      <c r="M14" s="24">
        <v>0</v>
      </c>
    </row>
    <row r="15" spans="1:13" x14ac:dyDescent="0.2">
      <c r="A15" s="25">
        <v>14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123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</row>
    <row r="16" spans="1:13" x14ac:dyDescent="0.2">
      <c r="A16" s="25">
        <v>15</v>
      </c>
      <c r="B16" s="24">
        <v>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89.6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</row>
    <row r="17" spans="1:13" x14ac:dyDescent="0.2">
      <c r="A17" s="25">
        <v>16</v>
      </c>
      <c r="B17" s="24">
        <v>0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30.2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</row>
    <row r="18" spans="1:13" x14ac:dyDescent="0.2">
      <c r="A18" s="25">
        <v>17</v>
      </c>
      <c r="B18" s="24">
        <v>0</v>
      </c>
      <c r="C18" s="24">
        <v>0</v>
      </c>
      <c r="D18" s="24">
        <v>2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</row>
    <row r="19" spans="1:13" x14ac:dyDescent="0.2">
      <c r="A19" s="25">
        <v>18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5</v>
      </c>
      <c r="J19" s="24">
        <v>0</v>
      </c>
      <c r="K19" s="24">
        <v>0</v>
      </c>
      <c r="L19" s="24">
        <v>0</v>
      </c>
      <c r="M19" s="24">
        <v>0</v>
      </c>
    </row>
    <row r="20" spans="1:13" x14ac:dyDescent="0.2">
      <c r="A20" s="25">
        <v>19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2.4</v>
      </c>
      <c r="I20" s="24">
        <v>4.5999999999999996</v>
      </c>
      <c r="J20" s="24">
        <v>0</v>
      </c>
      <c r="K20" s="24">
        <v>0</v>
      </c>
      <c r="L20" s="24">
        <v>0</v>
      </c>
      <c r="M20" s="24">
        <v>0</v>
      </c>
    </row>
    <row r="21" spans="1:13" x14ac:dyDescent="0.2">
      <c r="A21" s="25">
        <v>20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65</v>
      </c>
      <c r="I21" s="24">
        <v>24.6</v>
      </c>
      <c r="J21" s="24">
        <v>0</v>
      </c>
      <c r="K21" s="24">
        <v>0</v>
      </c>
      <c r="L21" s="24">
        <v>0</v>
      </c>
      <c r="M21" s="24">
        <v>0</v>
      </c>
    </row>
    <row r="22" spans="1:13" x14ac:dyDescent="0.2">
      <c r="A22" s="25">
        <v>21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2</v>
      </c>
      <c r="H22" s="24">
        <v>34</v>
      </c>
      <c r="I22" s="24">
        <v>10</v>
      </c>
      <c r="J22" s="24">
        <v>0</v>
      </c>
      <c r="K22" s="24">
        <v>0</v>
      </c>
      <c r="L22" s="24">
        <v>0</v>
      </c>
      <c r="M22" s="24">
        <v>0</v>
      </c>
    </row>
    <row r="23" spans="1:13" x14ac:dyDescent="0.2">
      <c r="A23" s="25">
        <v>22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12</v>
      </c>
      <c r="I23" s="24">
        <v>4.2</v>
      </c>
      <c r="J23" s="24">
        <v>0</v>
      </c>
      <c r="K23" s="24">
        <v>0</v>
      </c>
      <c r="L23" s="24">
        <v>0</v>
      </c>
      <c r="M23" s="24">
        <v>0</v>
      </c>
    </row>
    <row r="24" spans="1:13" x14ac:dyDescent="0.2">
      <c r="A24" s="25">
        <v>23</v>
      </c>
      <c r="B24" s="24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15</v>
      </c>
      <c r="I24" s="24">
        <v>15.4</v>
      </c>
      <c r="J24" s="24">
        <v>0</v>
      </c>
      <c r="K24" s="24">
        <v>0</v>
      </c>
      <c r="L24" s="24">
        <v>0</v>
      </c>
      <c r="M24" s="24">
        <v>0</v>
      </c>
    </row>
    <row r="25" spans="1:13" x14ac:dyDescent="0.2">
      <c r="A25" s="25">
        <v>24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10</v>
      </c>
      <c r="H25" s="24">
        <v>78</v>
      </c>
      <c r="I25" s="24">
        <v>15.2</v>
      </c>
      <c r="J25" s="24">
        <v>0</v>
      </c>
      <c r="K25" s="24">
        <v>0</v>
      </c>
      <c r="L25" s="24">
        <v>0</v>
      </c>
      <c r="M25" s="24">
        <v>0</v>
      </c>
    </row>
    <row r="26" spans="1:13" x14ac:dyDescent="0.2">
      <c r="A26" s="25">
        <v>25</v>
      </c>
      <c r="B26" s="24">
        <v>0</v>
      </c>
      <c r="C26" s="24">
        <v>0</v>
      </c>
      <c r="D26" s="24">
        <v>0</v>
      </c>
      <c r="E26" s="24">
        <v>0</v>
      </c>
      <c r="F26" s="24">
        <v>0</v>
      </c>
      <c r="G26" s="24">
        <v>5.9</v>
      </c>
      <c r="H26" s="24">
        <v>3.3</v>
      </c>
      <c r="I26" s="24">
        <v>120.6</v>
      </c>
      <c r="J26" s="24">
        <v>0</v>
      </c>
      <c r="K26" s="24">
        <v>0</v>
      </c>
      <c r="L26" s="24">
        <v>0</v>
      </c>
      <c r="M26" s="24">
        <v>0</v>
      </c>
    </row>
    <row r="27" spans="1:13" x14ac:dyDescent="0.2">
      <c r="A27" s="25">
        <v>26</v>
      </c>
      <c r="B27" s="24">
        <v>0</v>
      </c>
      <c r="C27" s="24">
        <v>0</v>
      </c>
      <c r="D27" s="24">
        <v>1</v>
      </c>
      <c r="E27" s="24">
        <v>0</v>
      </c>
      <c r="F27" s="24">
        <v>0</v>
      </c>
      <c r="G27" s="24">
        <v>0</v>
      </c>
      <c r="H27" s="24">
        <v>10</v>
      </c>
      <c r="I27" s="24">
        <v>52</v>
      </c>
      <c r="J27" s="24">
        <v>0</v>
      </c>
      <c r="K27" s="24">
        <v>0</v>
      </c>
      <c r="L27" s="24">
        <v>0</v>
      </c>
      <c r="M27" s="24">
        <v>0</v>
      </c>
    </row>
    <row r="28" spans="1:13" x14ac:dyDescent="0.2">
      <c r="A28" s="25">
        <v>27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8</v>
      </c>
      <c r="J28" s="24">
        <v>0</v>
      </c>
      <c r="K28" s="24">
        <v>0</v>
      </c>
      <c r="L28" s="24">
        <v>0</v>
      </c>
      <c r="M28" s="24">
        <v>0</v>
      </c>
    </row>
    <row r="29" spans="1:13" x14ac:dyDescent="0.2">
      <c r="A29" s="25">
        <v>28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</row>
    <row r="30" spans="1:13" x14ac:dyDescent="0.2">
      <c r="A30" s="25">
        <v>29</v>
      </c>
      <c r="B30" s="24">
        <v>0</v>
      </c>
      <c r="C30" s="46"/>
      <c r="D30" s="24">
        <v>0</v>
      </c>
      <c r="E30" s="24">
        <v>0</v>
      </c>
      <c r="F30" s="24">
        <v>0</v>
      </c>
      <c r="G30" s="24">
        <v>0</v>
      </c>
      <c r="H30" s="24">
        <v>23.5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</row>
    <row r="31" spans="1:13" x14ac:dyDescent="0.2">
      <c r="A31" s="25">
        <v>30</v>
      </c>
      <c r="B31" s="24">
        <v>0</v>
      </c>
      <c r="C31" s="46"/>
      <c r="D31" s="24">
        <v>0</v>
      </c>
      <c r="E31" s="24">
        <v>0</v>
      </c>
      <c r="F31" s="24">
        <v>0</v>
      </c>
      <c r="G31" s="24">
        <v>0</v>
      </c>
      <c r="H31" s="24">
        <v>90</v>
      </c>
      <c r="I31" s="24">
        <v>21</v>
      </c>
      <c r="J31" s="24">
        <v>0</v>
      </c>
      <c r="K31" s="24">
        <v>0</v>
      </c>
      <c r="L31" s="24">
        <v>0</v>
      </c>
      <c r="M31" s="24">
        <v>0</v>
      </c>
    </row>
    <row r="32" spans="1:13" x14ac:dyDescent="0.2">
      <c r="A32" s="25">
        <v>31</v>
      </c>
      <c r="B32" s="24">
        <v>0</v>
      </c>
      <c r="C32" s="46"/>
      <c r="D32" s="24">
        <v>0</v>
      </c>
      <c r="E32" s="46"/>
      <c r="F32" s="24">
        <v>0</v>
      </c>
      <c r="G32" s="46"/>
      <c r="H32" s="24">
        <v>0</v>
      </c>
      <c r="I32" s="24">
        <v>0</v>
      </c>
      <c r="J32" s="46"/>
      <c r="K32" s="24">
        <v>0</v>
      </c>
      <c r="L32" s="46"/>
      <c r="M32" s="24">
        <v>0</v>
      </c>
    </row>
    <row r="33" spans="1:21" x14ac:dyDescent="0.2">
      <c r="A33" s="6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21" x14ac:dyDescent="0.2">
      <c r="A34" s="69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spans="1:21" ht="28.5" x14ac:dyDescent="0.2">
      <c r="A35" s="27" t="s">
        <v>78</v>
      </c>
      <c r="B35" s="29">
        <v>23.2</v>
      </c>
      <c r="C35" s="29">
        <v>0</v>
      </c>
      <c r="D35" s="29">
        <v>3</v>
      </c>
      <c r="E35" s="29">
        <v>0</v>
      </c>
      <c r="F35" s="29">
        <v>0</v>
      </c>
      <c r="G35" s="29">
        <v>17.899999999999999</v>
      </c>
      <c r="H35" s="29">
        <v>606.4</v>
      </c>
      <c r="I35" s="29">
        <v>511.8</v>
      </c>
      <c r="J35" s="29">
        <v>68.400000000000006</v>
      </c>
      <c r="K35" s="29">
        <v>0</v>
      </c>
      <c r="L35" s="29">
        <v>0</v>
      </c>
      <c r="M35" s="29">
        <v>0</v>
      </c>
    </row>
    <row r="36" spans="1:21" ht="14.25" x14ac:dyDescent="0.2">
      <c r="A36" s="27" t="s">
        <v>76</v>
      </c>
      <c r="B36" s="31">
        <v>2</v>
      </c>
      <c r="C36" s="31">
        <v>0</v>
      </c>
      <c r="D36" s="31">
        <v>0</v>
      </c>
      <c r="E36" s="31">
        <v>0</v>
      </c>
      <c r="F36" s="31">
        <v>0</v>
      </c>
      <c r="G36" s="31">
        <v>2</v>
      </c>
      <c r="H36" s="31">
        <v>15</v>
      </c>
      <c r="I36" s="31">
        <v>22</v>
      </c>
      <c r="J36" s="31">
        <v>4</v>
      </c>
      <c r="K36" s="31">
        <v>0</v>
      </c>
      <c r="L36" s="31">
        <v>0</v>
      </c>
      <c r="M36" s="31">
        <v>0</v>
      </c>
    </row>
    <row r="37" spans="1:21" ht="28.5" x14ac:dyDescent="0.2">
      <c r="A37" s="27" t="s">
        <v>77</v>
      </c>
      <c r="B37" s="31">
        <v>31</v>
      </c>
      <c r="C37" s="31">
        <v>28</v>
      </c>
      <c r="D37" s="31">
        <v>31</v>
      </c>
      <c r="E37" s="31">
        <v>30</v>
      </c>
      <c r="F37" s="31">
        <v>31</v>
      </c>
      <c r="G37" s="31">
        <v>30</v>
      </c>
      <c r="H37" s="31">
        <v>31</v>
      </c>
      <c r="I37" s="31">
        <v>31</v>
      </c>
      <c r="J37" s="31">
        <v>30</v>
      </c>
      <c r="K37" s="31">
        <v>31</v>
      </c>
      <c r="L37" s="31">
        <v>30</v>
      </c>
      <c r="M37" s="31">
        <v>31</v>
      </c>
    </row>
    <row r="38" spans="1:21" x14ac:dyDescent="0.2">
      <c r="A38" s="60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1:21" ht="12.75" customHeight="1" x14ac:dyDescent="0.2">
      <c r="A39" s="38" t="s">
        <v>10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spans="1:21" ht="12.75" customHeight="1" x14ac:dyDescent="0.2">
      <c r="A40" s="38" t="s">
        <v>11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DB38-B9A1-4085-93EA-D8729A9E3FFD}">
  <dimension ref="A1:U40"/>
  <sheetViews>
    <sheetView topLeftCell="A11" workbookViewId="0">
      <selection activeCell="A35" sqref="A35:A37"/>
    </sheetView>
  </sheetViews>
  <sheetFormatPr defaultRowHeight="12.75" x14ac:dyDescent="0.2"/>
  <cols>
    <col min="1" max="1" width="23.1640625" customWidth="1"/>
  </cols>
  <sheetData>
    <row r="1" spans="1:13" ht="15" x14ac:dyDescent="0.2">
      <c r="A1" s="51" t="s">
        <v>63</v>
      </c>
      <c r="B1" s="51" t="s">
        <v>52</v>
      </c>
      <c r="C1" s="51" t="s">
        <v>64</v>
      </c>
      <c r="D1" s="51" t="s">
        <v>53</v>
      </c>
      <c r="E1" s="51" t="s">
        <v>65</v>
      </c>
      <c r="F1" s="51" t="s">
        <v>54</v>
      </c>
      <c r="G1" s="51" t="s">
        <v>55</v>
      </c>
      <c r="H1" s="51" t="s">
        <v>56</v>
      </c>
      <c r="I1" s="51" t="s">
        <v>66</v>
      </c>
      <c r="J1" s="51" t="s">
        <v>67</v>
      </c>
      <c r="K1" s="51" t="s">
        <v>68</v>
      </c>
      <c r="L1" s="51" t="s">
        <v>57</v>
      </c>
      <c r="M1" s="51" t="s">
        <v>69</v>
      </c>
    </row>
    <row r="2" spans="1:13" ht="15" x14ac:dyDescent="0.25">
      <c r="A2" s="64">
        <v>1</v>
      </c>
      <c r="B2" s="54">
        <v>0</v>
      </c>
      <c r="C2" s="54">
        <v>0</v>
      </c>
      <c r="D2" s="54">
        <v>0</v>
      </c>
      <c r="E2" s="54">
        <v>0</v>
      </c>
      <c r="F2" s="54">
        <v>0</v>
      </c>
      <c r="G2" s="54">
        <v>0</v>
      </c>
      <c r="H2" s="65">
        <v>62</v>
      </c>
      <c r="I2" s="65">
        <v>2.2999999999999998</v>
      </c>
      <c r="J2" s="54">
        <v>0</v>
      </c>
      <c r="K2" s="54">
        <v>0</v>
      </c>
      <c r="L2" s="54">
        <v>0</v>
      </c>
      <c r="M2" s="54">
        <v>0</v>
      </c>
    </row>
    <row r="3" spans="1:13" ht="15" x14ac:dyDescent="0.2">
      <c r="A3" s="66">
        <v>2</v>
      </c>
      <c r="B3" s="54">
        <v>0</v>
      </c>
      <c r="C3" s="54">
        <v>0</v>
      </c>
      <c r="D3" s="54">
        <v>0</v>
      </c>
      <c r="E3" s="54">
        <v>0</v>
      </c>
      <c r="F3" s="54">
        <v>0</v>
      </c>
      <c r="G3" s="54">
        <v>0</v>
      </c>
      <c r="H3" s="54">
        <v>0</v>
      </c>
      <c r="I3" s="65">
        <v>2.6</v>
      </c>
      <c r="J3" s="65">
        <v>2.2999999999999998</v>
      </c>
      <c r="K3" s="54">
        <v>0</v>
      </c>
      <c r="L3" s="54">
        <v>0</v>
      </c>
      <c r="M3" s="54">
        <v>0</v>
      </c>
    </row>
    <row r="4" spans="1:13" ht="15" x14ac:dyDescent="0.2">
      <c r="A4" s="55">
        <v>3</v>
      </c>
      <c r="B4" s="54">
        <v>0</v>
      </c>
      <c r="C4" s="54">
        <v>0</v>
      </c>
      <c r="D4" s="54">
        <v>0</v>
      </c>
      <c r="E4" s="54">
        <v>0</v>
      </c>
      <c r="F4" s="54">
        <v>0</v>
      </c>
      <c r="G4" s="54">
        <v>0</v>
      </c>
      <c r="H4" s="54">
        <v>0</v>
      </c>
      <c r="I4" s="54">
        <v>0</v>
      </c>
      <c r="J4" s="65">
        <v>56.2</v>
      </c>
      <c r="K4" s="54">
        <v>0</v>
      </c>
      <c r="L4" s="54">
        <v>0</v>
      </c>
      <c r="M4" s="54">
        <v>0</v>
      </c>
    </row>
    <row r="5" spans="1:13" ht="15" x14ac:dyDescent="0.2">
      <c r="A5" s="67">
        <v>4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0</v>
      </c>
      <c r="I5" s="65">
        <v>10.3</v>
      </c>
      <c r="J5" s="65">
        <v>26</v>
      </c>
      <c r="K5" s="54">
        <v>0</v>
      </c>
      <c r="L5" s="54">
        <v>0</v>
      </c>
      <c r="M5" s="54">
        <v>0</v>
      </c>
    </row>
    <row r="6" spans="1:13" ht="14.25" x14ac:dyDescent="0.2">
      <c r="A6" s="55">
        <v>5</v>
      </c>
      <c r="B6" s="54">
        <v>0</v>
      </c>
      <c r="C6" s="54">
        <v>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33</v>
      </c>
      <c r="J6" s="54">
        <v>0</v>
      </c>
      <c r="K6" s="54">
        <v>0</v>
      </c>
      <c r="L6" s="54">
        <v>0</v>
      </c>
      <c r="M6" s="54">
        <v>0</v>
      </c>
    </row>
    <row r="7" spans="1:13" ht="15" x14ac:dyDescent="0.2">
      <c r="A7" s="55">
        <v>6</v>
      </c>
      <c r="B7" s="54">
        <v>0</v>
      </c>
      <c r="C7" s="54">
        <v>0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65">
        <v>23.2</v>
      </c>
      <c r="J7" s="54">
        <v>0</v>
      </c>
      <c r="K7" s="54">
        <v>0</v>
      </c>
      <c r="L7" s="54">
        <v>0</v>
      </c>
      <c r="M7" s="54">
        <v>0</v>
      </c>
    </row>
    <row r="8" spans="1:13" ht="15" x14ac:dyDescent="0.2">
      <c r="A8" s="55">
        <v>7</v>
      </c>
      <c r="B8" s="54">
        <v>0</v>
      </c>
      <c r="C8" s="54">
        <v>0</v>
      </c>
      <c r="D8" s="54">
        <v>0</v>
      </c>
      <c r="E8" s="54">
        <v>0</v>
      </c>
      <c r="F8" s="54">
        <v>0</v>
      </c>
      <c r="G8" s="54">
        <v>0</v>
      </c>
      <c r="H8" s="54">
        <v>0</v>
      </c>
      <c r="I8" s="54">
        <v>8.4</v>
      </c>
      <c r="J8" s="65">
        <v>23.4</v>
      </c>
      <c r="K8" s="54">
        <v>0</v>
      </c>
      <c r="L8" s="54">
        <v>0</v>
      </c>
      <c r="M8" s="54">
        <v>0</v>
      </c>
    </row>
    <row r="9" spans="1:13" ht="14.25" x14ac:dyDescent="0.2">
      <c r="A9" s="55">
        <v>8</v>
      </c>
      <c r="B9" s="54">
        <v>0</v>
      </c>
      <c r="C9" s="54">
        <v>0</v>
      </c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0</v>
      </c>
      <c r="J9" s="54">
        <v>9</v>
      </c>
      <c r="K9" s="54">
        <v>0</v>
      </c>
      <c r="L9" s="54">
        <v>0</v>
      </c>
      <c r="M9" s="54">
        <v>0</v>
      </c>
    </row>
    <row r="10" spans="1:13" ht="15" x14ac:dyDescent="0.2">
      <c r="A10" s="55">
        <v>9</v>
      </c>
      <c r="B10" s="54">
        <v>0</v>
      </c>
      <c r="C10" s="54">
        <v>0</v>
      </c>
      <c r="D10" s="54">
        <v>0</v>
      </c>
      <c r="E10" s="54">
        <v>0</v>
      </c>
      <c r="F10" s="54">
        <v>0</v>
      </c>
      <c r="G10" s="65">
        <v>20</v>
      </c>
      <c r="H10" s="54">
        <v>0</v>
      </c>
      <c r="I10" s="54">
        <v>0</v>
      </c>
      <c r="J10" s="65">
        <v>5.0999999999999996</v>
      </c>
      <c r="K10" s="54">
        <v>0</v>
      </c>
      <c r="L10" s="54">
        <v>0</v>
      </c>
      <c r="M10" s="54">
        <v>0</v>
      </c>
    </row>
    <row r="11" spans="1:13" ht="15" x14ac:dyDescent="0.2">
      <c r="A11" s="67">
        <v>10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65">
        <v>14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</row>
    <row r="12" spans="1:13" ht="15" x14ac:dyDescent="0.2">
      <c r="A12" s="67">
        <v>11</v>
      </c>
      <c r="B12" s="54">
        <v>9</v>
      </c>
      <c r="C12" s="54">
        <v>0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</row>
    <row r="13" spans="1:13" ht="15" x14ac:dyDescent="0.2">
      <c r="A13" s="67">
        <v>12</v>
      </c>
      <c r="B13" s="65">
        <v>15</v>
      </c>
      <c r="C13" s="54">
        <v>0</v>
      </c>
      <c r="D13" s="54">
        <v>0</v>
      </c>
      <c r="E13" s="54">
        <v>0</v>
      </c>
      <c r="F13" s="54">
        <v>0</v>
      </c>
      <c r="G13" s="54">
        <v>0</v>
      </c>
      <c r="H13" s="54">
        <v>0</v>
      </c>
      <c r="I13" s="65">
        <v>124.4</v>
      </c>
      <c r="J13" s="54">
        <v>0</v>
      </c>
      <c r="K13" s="54">
        <v>0</v>
      </c>
      <c r="L13" s="54">
        <v>0</v>
      </c>
      <c r="M13" s="54">
        <v>0</v>
      </c>
    </row>
    <row r="14" spans="1:13" ht="15" x14ac:dyDescent="0.2">
      <c r="A14" s="67">
        <v>13</v>
      </c>
      <c r="B14" s="65">
        <v>2.2000000000000002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6</v>
      </c>
      <c r="I14" s="65">
        <v>83.4</v>
      </c>
      <c r="J14" s="54">
        <v>8</v>
      </c>
      <c r="K14" s="54">
        <v>0</v>
      </c>
      <c r="L14" s="54">
        <v>0</v>
      </c>
      <c r="M14" s="54">
        <v>0</v>
      </c>
    </row>
    <row r="15" spans="1:13" ht="15" x14ac:dyDescent="0.2">
      <c r="A15" s="67">
        <v>14</v>
      </c>
      <c r="B15" s="54">
        <v>0</v>
      </c>
      <c r="C15" s="54">
        <v>0</v>
      </c>
      <c r="D15" s="54">
        <v>0</v>
      </c>
      <c r="E15" s="54">
        <v>0</v>
      </c>
      <c r="F15" s="54">
        <v>0</v>
      </c>
      <c r="G15" s="54">
        <v>35.799999999999997</v>
      </c>
      <c r="H15" s="65">
        <v>75</v>
      </c>
      <c r="I15" s="65">
        <v>10.199999999999999</v>
      </c>
      <c r="J15" s="65">
        <v>14.1</v>
      </c>
      <c r="K15" s="54">
        <v>0</v>
      </c>
      <c r="L15" s="54">
        <v>0</v>
      </c>
      <c r="M15" s="54">
        <v>0</v>
      </c>
    </row>
    <row r="16" spans="1:13" ht="15" x14ac:dyDescent="0.2">
      <c r="A16" s="67">
        <v>15</v>
      </c>
      <c r="B16" s="65">
        <v>1.8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65">
        <v>49.4</v>
      </c>
      <c r="I16" s="54">
        <v>0</v>
      </c>
      <c r="J16" s="65">
        <v>16</v>
      </c>
      <c r="K16" s="54">
        <v>0</v>
      </c>
      <c r="L16" s="54">
        <v>0</v>
      </c>
      <c r="M16" s="54">
        <v>0</v>
      </c>
    </row>
    <row r="17" spans="1:13" ht="15" x14ac:dyDescent="0.2">
      <c r="A17" s="67">
        <v>16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65">
        <v>67.400000000000006</v>
      </c>
      <c r="I17" s="65">
        <v>12</v>
      </c>
      <c r="J17" s="54">
        <v>0</v>
      </c>
      <c r="K17" s="54">
        <v>0</v>
      </c>
      <c r="L17" s="54">
        <v>0</v>
      </c>
      <c r="M17" s="54">
        <v>0</v>
      </c>
    </row>
    <row r="18" spans="1:13" ht="15" x14ac:dyDescent="0.2">
      <c r="A18" s="67">
        <v>17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65">
        <v>2.2000000000000002</v>
      </c>
      <c r="J18" s="54">
        <v>0</v>
      </c>
      <c r="K18" s="54">
        <v>0</v>
      </c>
      <c r="L18" s="54">
        <v>0</v>
      </c>
      <c r="M18" s="54">
        <v>0</v>
      </c>
    </row>
    <row r="19" spans="1:13" ht="15" x14ac:dyDescent="0.2">
      <c r="A19" s="67">
        <v>18</v>
      </c>
      <c r="B19" s="54">
        <v>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65">
        <v>14</v>
      </c>
      <c r="I19" s="65">
        <v>1.2</v>
      </c>
      <c r="J19" s="54">
        <v>5</v>
      </c>
      <c r="K19" s="54">
        <v>0</v>
      </c>
      <c r="L19" s="54">
        <v>0</v>
      </c>
      <c r="M19" s="54">
        <v>0</v>
      </c>
    </row>
    <row r="20" spans="1:13" ht="15" x14ac:dyDescent="0.2">
      <c r="A20" s="67">
        <v>19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65">
        <v>2</v>
      </c>
      <c r="I20" s="65">
        <v>7.2</v>
      </c>
      <c r="J20" s="65">
        <v>14.4</v>
      </c>
      <c r="K20" s="54">
        <v>0</v>
      </c>
      <c r="L20" s="54">
        <v>0</v>
      </c>
      <c r="M20" s="54">
        <v>0</v>
      </c>
    </row>
    <row r="21" spans="1:13" ht="15" x14ac:dyDescent="0.2">
      <c r="A21" s="67">
        <v>20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</row>
    <row r="22" spans="1:13" ht="15" x14ac:dyDescent="0.2">
      <c r="A22" s="67">
        <v>21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66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</row>
    <row r="23" spans="1:13" ht="15" x14ac:dyDescent="0.2">
      <c r="A23" s="67">
        <v>22</v>
      </c>
      <c r="B23" s="54">
        <v>0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65">
        <v>2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</row>
    <row r="24" spans="1:13" ht="15" x14ac:dyDescent="0.2">
      <c r="A24" s="67">
        <v>23</v>
      </c>
      <c r="B24" s="54">
        <v>0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65">
        <v>30.4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</row>
    <row r="25" spans="1:13" ht="15" x14ac:dyDescent="0.2">
      <c r="A25" s="67">
        <v>24</v>
      </c>
      <c r="B25" s="54">
        <v>0</v>
      </c>
      <c r="C25" s="54">
        <v>0</v>
      </c>
      <c r="D25" s="54">
        <v>0</v>
      </c>
      <c r="E25" s="54">
        <v>0</v>
      </c>
      <c r="F25" s="54">
        <v>0</v>
      </c>
      <c r="G25" s="65">
        <v>87.2</v>
      </c>
      <c r="H25" s="65">
        <v>2.2000000000000002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</row>
    <row r="26" spans="1:13" ht="15" x14ac:dyDescent="0.2">
      <c r="A26" s="67">
        <v>25</v>
      </c>
      <c r="B26" s="54">
        <v>0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3.9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</row>
    <row r="27" spans="1:13" ht="15" x14ac:dyDescent="0.2">
      <c r="A27" s="67">
        <v>26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7</v>
      </c>
      <c r="H27" s="65">
        <v>11.1</v>
      </c>
      <c r="I27" s="54">
        <v>9</v>
      </c>
      <c r="J27" s="54">
        <v>0</v>
      </c>
      <c r="K27" s="54">
        <v>0</v>
      </c>
      <c r="L27" s="54">
        <v>0</v>
      </c>
      <c r="M27" s="54">
        <v>0</v>
      </c>
    </row>
    <row r="28" spans="1:13" ht="15" x14ac:dyDescent="0.2">
      <c r="A28" s="67">
        <v>27</v>
      </c>
      <c r="B28" s="54">
        <v>0</v>
      </c>
      <c r="C28" s="54">
        <v>0</v>
      </c>
      <c r="D28" s="54">
        <v>0</v>
      </c>
      <c r="E28" s="54">
        <v>0</v>
      </c>
      <c r="F28" s="54">
        <v>0</v>
      </c>
      <c r="G28" s="65">
        <v>18.399999999999999</v>
      </c>
      <c r="H28" s="65">
        <v>59.4</v>
      </c>
      <c r="I28" s="65">
        <v>11.4</v>
      </c>
      <c r="J28" s="54">
        <v>0</v>
      </c>
      <c r="K28" s="54">
        <v>0</v>
      </c>
      <c r="L28" s="54">
        <v>0</v>
      </c>
      <c r="M28" s="54">
        <v>0</v>
      </c>
    </row>
    <row r="29" spans="1:13" ht="15" x14ac:dyDescent="0.2">
      <c r="A29" s="67">
        <v>28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65">
        <v>29.2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</row>
    <row r="30" spans="1:13" ht="15" x14ac:dyDescent="0.25">
      <c r="A30" s="67">
        <v>29</v>
      </c>
      <c r="B30" s="54">
        <v>0</v>
      </c>
      <c r="C30" s="64"/>
      <c r="D30" s="54">
        <v>0</v>
      </c>
      <c r="E30" s="54">
        <v>0</v>
      </c>
      <c r="F30" s="54">
        <v>0</v>
      </c>
      <c r="G30" s="54">
        <v>0</v>
      </c>
      <c r="H30" s="54">
        <v>9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</row>
    <row r="31" spans="1:13" ht="15" x14ac:dyDescent="0.25">
      <c r="A31" s="55">
        <v>30</v>
      </c>
      <c r="B31" s="54">
        <v>0</v>
      </c>
      <c r="C31" s="64"/>
      <c r="D31" s="54">
        <v>0</v>
      </c>
      <c r="E31" s="54">
        <v>0</v>
      </c>
      <c r="F31" s="54">
        <v>0</v>
      </c>
      <c r="G31" s="54">
        <v>0</v>
      </c>
      <c r="H31" s="65">
        <v>2.1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</row>
    <row r="32" spans="1:13" ht="15" x14ac:dyDescent="0.25">
      <c r="A32" s="67">
        <v>31</v>
      </c>
      <c r="B32" s="54">
        <v>0</v>
      </c>
      <c r="C32" s="64"/>
      <c r="D32" s="54">
        <v>0</v>
      </c>
      <c r="E32" s="64"/>
      <c r="F32" s="54">
        <v>0</v>
      </c>
      <c r="G32" s="64"/>
      <c r="H32" s="54">
        <v>0</v>
      </c>
      <c r="I32" s="54">
        <v>0</v>
      </c>
      <c r="J32" s="64"/>
      <c r="K32" s="54">
        <v>0</v>
      </c>
      <c r="L32" s="64"/>
      <c r="M32" s="54">
        <v>0</v>
      </c>
    </row>
    <row r="33" spans="1:21" x14ac:dyDescent="0.2">
      <c r="A33" s="6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21" x14ac:dyDescent="0.2">
      <c r="A34" s="61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spans="1:21" ht="28.5" x14ac:dyDescent="0.2">
      <c r="A35" s="27" t="s">
        <v>78</v>
      </c>
      <c r="B35" s="10">
        <v>28</v>
      </c>
      <c r="C35" s="24">
        <v>0</v>
      </c>
      <c r="D35" s="24">
        <v>0</v>
      </c>
      <c r="E35" s="24">
        <v>0</v>
      </c>
      <c r="F35" s="24">
        <v>0</v>
      </c>
      <c r="G35" s="10">
        <v>182.4</v>
      </c>
      <c r="H35" s="10">
        <v>491.1</v>
      </c>
      <c r="I35" s="10">
        <v>340.8</v>
      </c>
      <c r="J35" s="10">
        <v>179.5</v>
      </c>
      <c r="K35" s="24">
        <v>0</v>
      </c>
      <c r="L35" s="24">
        <v>0</v>
      </c>
      <c r="M35" s="24">
        <v>0</v>
      </c>
    </row>
    <row r="36" spans="1:21" ht="14.25" x14ac:dyDescent="0.2">
      <c r="A36" s="27" t="s">
        <v>76</v>
      </c>
      <c r="B36" s="68">
        <v>2</v>
      </c>
      <c r="C36" s="25">
        <v>0</v>
      </c>
      <c r="D36" s="25">
        <v>0</v>
      </c>
      <c r="E36" s="25">
        <v>0</v>
      </c>
      <c r="F36" s="25">
        <v>0</v>
      </c>
      <c r="G36" s="25">
        <v>6</v>
      </c>
      <c r="H36" s="9">
        <v>13</v>
      </c>
      <c r="I36" s="9">
        <v>12</v>
      </c>
      <c r="J36" s="9">
        <v>10</v>
      </c>
      <c r="K36" s="25">
        <v>0</v>
      </c>
      <c r="L36" s="25">
        <v>0</v>
      </c>
      <c r="M36" s="25">
        <v>0</v>
      </c>
    </row>
    <row r="37" spans="1:21" ht="28.5" x14ac:dyDescent="0.2">
      <c r="A37" s="27" t="s">
        <v>77</v>
      </c>
      <c r="B37" s="9">
        <v>31</v>
      </c>
      <c r="C37" s="9">
        <v>28</v>
      </c>
      <c r="D37" s="9">
        <v>31</v>
      </c>
      <c r="E37" s="25">
        <v>30</v>
      </c>
      <c r="F37" s="9">
        <v>31</v>
      </c>
      <c r="G37" s="25">
        <v>30</v>
      </c>
      <c r="H37" s="9">
        <v>31</v>
      </c>
      <c r="I37" s="9">
        <v>31</v>
      </c>
      <c r="J37" s="25">
        <v>30</v>
      </c>
      <c r="K37" s="9">
        <v>31</v>
      </c>
      <c r="L37" s="25">
        <v>30</v>
      </c>
      <c r="M37" s="9">
        <v>31</v>
      </c>
    </row>
    <row r="38" spans="1:21" x14ac:dyDescent="0.2">
      <c r="A38" s="60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1:21" ht="12.75" customHeight="1" x14ac:dyDescent="0.2">
      <c r="A39" s="4" t="s">
        <v>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2.75" customHeight="1" x14ac:dyDescent="0.2">
      <c r="A40" s="4" t="s">
        <v>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08A7-EB59-46F9-9AFB-FA0A70AD58D2}">
  <dimension ref="A2:O40"/>
  <sheetViews>
    <sheetView workbookViewId="0">
      <selection activeCell="A35" sqref="A35:A37"/>
    </sheetView>
  </sheetViews>
  <sheetFormatPr defaultRowHeight="12.75" x14ac:dyDescent="0.2"/>
  <cols>
    <col min="1" max="1" width="33.83203125" customWidth="1"/>
  </cols>
  <sheetData>
    <row r="2" spans="1:15" ht="15" x14ac:dyDescent="0.2">
      <c r="A2" s="51" t="s">
        <v>63</v>
      </c>
      <c r="B2" s="51" t="s">
        <v>52</v>
      </c>
      <c r="C2" s="51" t="s">
        <v>64</v>
      </c>
      <c r="D2" s="51" t="s">
        <v>53</v>
      </c>
      <c r="E2" s="51" t="s">
        <v>65</v>
      </c>
      <c r="F2" s="51" t="s">
        <v>54</v>
      </c>
      <c r="G2" s="51" t="s">
        <v>55</v>
      </c>
      <c r="H2" s="51" t="s">
        <v>56</v>
      </c>
      <c r="I2" s="51" t="s">
        <v>66</v>
      </c>
      <c r="J2" s="51" t="s">
        <v>67</v>
      </c>
      <c r="K2" s="51" t="s">
        <v>68</v>
      </c>
      <c r="L2" s="51" t="s">
        <v>57</v>
      </c>
      <c r="M2" s="51" t="s">
        <v>69</v>
      </c>
      <c r="N2" s="42"/>
      <c r="O2" s="42"/>
    </row>
    <row r="3" spans="1:15" ht="15" x14ac:dyDescent="0.2">
      <c r="A3" s="48">
        <v>1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12.8</v>
      </c>
      <c r="K3" s="29">
        <v>0</v>
      </c>
      <c r="L3" s="29">
        <v>0</v>
      </c>
      <c r="M3" s="29">
        <v>0</v>
      </c>
      <c r="N3" s="42"/>
      <c r="O3" s="42"/>
    </row>
    <row r="4" spans="1:15" ht="14.25" x14ac:dyDescent="0.2">
      <c r="A4" s="31">
        <v>2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4.4000000000000004</v>
      </c>
      <c r="K4" s="29">
        <v>0</v>
      </c>
      <c r="L4" s="29">
        <v>0</v>
      </c>
      <c r="M4" s="29">
        <v>0</v>
      </c>
      <c r="N4" s="42"/>
      <c r="O4" s="42"/>
    </row>
    <row r="5" spans="1:15" ht="14.25" x14ac:dyDescent="0.2">
      <c r="A5" s="31">
        <v>3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42"/>
      <c r="O5" s="42"/>
    </row>
    <row r="6" spans="1:15" ht="14.25" x14ac:dyDescent="0.2">
      <c r="A6" s="31">
        <v>4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14</v>
      </c>
      <c r="J6" s="29">
        <v>1</v>
      </c>
      <c r="K6" s="29">
        <v>0</v>
      </c>
      <c r="L6" s="29">
        <v>0</v>
      </c>
      <c r="M6" s="29">
        <v>0</v>
      </c>
      <c r="N6" s="42"/>
      <c r="O6" s="42"/>
    </row>
    <row r="7" spans="1:15" ht="15.75" x14ac:dyDescent="0.2">
      <c r="A7" s="31">
        <v>5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49">
        <v>45.2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42"/>
      <c r="O7" s="42"/>
    </row>
    <row r="8" spans="1:15" ht="14.25" x14ac:dyDescent="0.2">
      <c r="A8" s="31">
        <v>6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114</v>
      </c>
      <c r="J8" s="29">
        <v>0</v>
      </c>
      <c r="K8" s="29">
        <v>0</v>
      </c>
      <c r="L8" s="29">
        <v>0</v>
      </c>
      <c r="M8" s="29">
        <v>0</v>
      </c>
      <c r="N8" s="42"/>
      <c r="O8" s="42"/>
    </row>
    <row r="9" spans="1:15" ht="14.25" x14ac:dyDescent="0.2">
      <c r="A9" s="31">
        <v>7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73.2</v>
      </c>
      <c r="I9" s="29">
        <v>51</v>
      </c>
      <c r="J9" s="29">
        <v>0</v>
      </c>
      <c r="K9" s="29">
        <v>0</v>
      </c>
      <c r="L9" s="29">
        <v>0</v>
      </c>
      <c r="M9" s="29">
        <v>0</v>
      </c>
      <c r="N9" s="42"/>
      <c r="O9" s="42"/>
    </row>
    <row r="10" spans="1:15" ht="14.25" x14ac:dyDescent="0.2">
      <c r="A10" s="31">
        <v>8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2</v>
      </c>
      <c r="J10" s="29">
        <v>0</v>
      </c>
      <c r="K10" s="29">
        <v>0</v>
      </c>
      <c r="L10" s="29">
        <v>0</v>
      </c>
      <c r="M10" s="29">
        <v>0</v>
      </c>
      <c r="N10" s="42"/>
      <c r="O10" s="42"/>
    </row>
    <row r="11" spans="1:15" ht="14.25" x14ac:dyDescent="0.2">
      <c r="A11" s="31">
        <v>9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18.7</v>
      </c>
      <c r="K11" s="29">
        <v>0</v>
      </c>
      <c r="L11" s="29">
        <v>0</v>
      </c>
      <c r="M11" s="29">
        <v>0</v>
      </c>
      <c r="N11" s="42"/>
      <c r="O11" s="42"/>
    </row>
    <row r="12" spans="1:15" ht="14.25" x14ac:dyDescent="0.2">
      <c r="A12" s="31">
        <v>10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1.4</v>
      </c>
      <c r="K12" s="29">
        <v>0</v>
      </c>
      <c r="L12" s="29">
        <v>0</v>
      </c>
      <c r="M12" s="29">
        <v>0</v>
      </c>
      <c r="N12" s="42"/>
      <c r="O12" s="42"/>
    </row>
    <row r="13" spans="1:15" ht="15.75" x14ac:dyDescent="0.2">
      <c r="A13" s="31">
        <v>11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24</v>
      </c>
      <c r="I13" s="29">
        <v>0</v>
      </c>
      <c r="J13" s="49">
        <v>41.4</v>
      </c>
      <c r="K13" s="29">
        <v>0</v>
      </c>
      <c r="L13" s="29">
        <v>0</v>
      </c>
      <c r="M13" s="29">
        <v>0</v>
      </c>
      <c r="N13" s="42"/>
      <c r="O13" s="42"/>
    </row>
    <row r="14" spans="1:15" ht="14.25" x14ac:dyDescent="0.2">
      <c r="A14" s="31">
        <v>12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1.4</v>
      </c>
      <c r="I14" s="29">
        <v>0</v>
      </c>
      <c r="J14" s="29">
        <v>25.2</v>
      </c>
      <c r="K14" s="29">
        <v>0</v>
      </c>
      <c r="L14" s="29">
        <v>0</v>
      </c>
      <c r="M14" s="29">
        <v>0</v>
      </c>
      <c r="N14" s="42"/>
      <c r="O14" s="42"/>
    </row>
    <row r="15" spans="1:15" ht="14.25" x14ac:dyDescent="0.2">
      <c r="A15" s="31">
        <v>13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18.2</v>
      </c>
      <c r="K15" s="29">
        <v>0</v>
      </c>
      <c r="L15" s="29">
        <v>0</v>
      </c>
      <c r="M15" s="29">
        <v>0</v>
      </c>
      <c r="N15" s="42"/>
      <c r="O15" s="42"/>
    </row>
    <row r="16" spans="1:15" ht="15.75" x14ac:dyDescent="0.2">
      <c r="A16" s="50">
        <v>14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2</v>
      </c>
      <c r="K16" s="29">
        <v>0</v>
      </c>
      <c r="L16" s="29">
        <v>0</v>
      </c>
      <c r="M16" s="29">
        <v>0</v>
      </c>
      <c r="N16" s="42"/>
      <c r="O16" s="42"/>
    </row>
    <row r="17" spans="1:15" ht="14.25" x14ac:dyDescent="0.2">
      <c r="A17" s="31">
        <v>15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42"/>
      <c r="O17" s="42"/>
    </row>
    <row r="18" spans="1:15" ht="15.75" x14ac:dyDescent="0.2">
      <c r="A18" s="31">
        <v>16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18</v>
      </c>
      <c r="H18" s="49">
        <v>4.2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42"/>
      <c r="O18" s="42"/>
    </row>
    <row r="19" spans="1:15" ht="14.25" x14ac:dyDescent="0.2">
      <c r="A19" s="31">
        <v>17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5.2</v>
      </c>
      <c r="H19" s="29">
        <v>1.2</v>
      </c>
      <c r="I19" s="29">
        <v>2</v>
      </c>
      <c r="J19" s="29">
        <v>0</v>
      </c>
      <c r="K19" s="29">
        <v>0</v>
      </c>
      <c r="L19" s="29">
        <v>0</v>
      </c>
      <c r="M19" s="29">
        <v>0</v>
      </c>
      <c r="N19" s="42"/>
      <c r="O19" s="42"/>
    </row>
    <row r="20" spans="1:15" ht="14.25" x14ac:dyDescent="0.2">
      <c r="A20" s="31">
        <v>18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13</v>
      </c>
      <c r="H20" s="29">
        <v>7.4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42"/>
      <c r="O20" s="42"/>
    </row>
    <row r="21" spans="1:15" ht="14.25" x14ac:dyDescent="0.2">
      <c r="A21" s="31">
        <v>19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6.4</v>
      </c>
      <c r="I21" s="29">
        <v>0</v>
      </c>
      <c r="J21" s="29">
        <v>5.5</v>
      </c>
      <c r="K21" s="29">
        <v>0</v>
      </c>
      <c r="L21" s="29">
        <v>0</v>
      </c>
      <c r="M21" s="29">
        <v>0</v>
      </c>
      <c r="N21" s="42"/>
      <c r="O21" s="42"/>
    </row>
    <row r="22" spans="1:15" ht="14.25" x14ac:dyDescent="0.2">
      <c r="A22" s="31">
        <v>20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42"/>
      <c r="O22" s="42"/>
    </row>
    <row r="23" spans="1:15" ht="14.25" x14ac:dyDescent="0.2">
      <c r="A23" s="31">
        <v>21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2.2000000000000002</v>
      </c>
      <c r="H23" s="29">
        <v>0.8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42"/>
      <c r="O23" s="42"/>
    </row>
    <row r="24" spans="1:15" ht="15.75" x14ac:dyDescent="0.2">
      <c r="A24" s="50">
        <v>22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60.4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42"/>
      <c r="O24" s="42"/>
    </row>
    <row r="25" spans="1:15" ht="14.25" x14ac:dyDescent="0.2">
      <c r="A25" s="31">
        <v>23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42"/>
      <c r="O25" s="42"/>
    </row>
    <row r="26" spans="1:15" ht="15.75" x14ac:dyDescent="0.2">
      <c r="A26" s="50">
        <v>24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42"/>
      <c r="O26" s="42"/>
    </row>
    <row r="27" spans="1:15" ht="14.25" x14ac:dyDescent="0.2">
      <c r="A27" s="31">
        <v>25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8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42"/>
      <c r="O27" s="42"/>
    </row>
    <row r="28" spans="1:15" ht="14.25" x14ac:dyDescent="0.2">
      <c r="A28" s="31">
        <v>26</v>
      </c>
      <c r="B28" s="29">
        <v>0</v>
      </c>
      <c r="C28" s="29">
        <v>2.2000000000000002</v>
      </c>
      <c r="D28" s="29">
        <v>0</v>
      </c>
      <c r="E28" s="29">
        <v>0</v>
      </c>
      <c r="F28" s="29">
        <v>0</v>
      </c>
      <c r="G28" s="29">
        <v>17</v>
      </c>
      <c r="H28" s="29">
        <v>19.600000000000001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42"/>
      <c r="O28" s="42"/>
    </row>
    <row r="29" spans="1:15" ht="14.25" x14ac:dyDescent="0.2">
      <c r="A29" s="31">
        <v>27</v>
      </c>
      <c r="B29" s="29">
        <v>0</v>
      </c>
      <c r="C29" s="29">
        <v>1.4</v>
      </c>
      <c r="D29" s="29">
        <v>0</v>
      </c>
      <c r="E29" s="29">
        <v>0</v>
      </c>
      <c r="F29" s="29">
        <v>0</v>
      </c>
      <c r="G29" s="29">
        <v>9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42"/>
      <c r="O29" s="42"/>
    </row>
    <row r="30" spans="1:15" ht="14.25" x14ac:dyDescent="0.2">
      <c r="A30" s="31">
        <v>28</v>
      </c>
      <c r="B30" s="29">
        <v>0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42"/>
      <c r="O30" s="42"/>
    </row>
    <row r="31" spans="1:15" ht="15" x14ac:dyDescent="0.2">
      <c r="A31" s="31">
        <v>29</v>
      </c>
      <c r="B31" s="29">
        <v>0</v>
      </c>
      <c r="C31" s="48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42"/>
      <c r="O31" s="42"/>
    </row>
    <row r="32" spans="1:15" ht="15" x14ac:dyDescent="0.2">
      <c r="A32" s="31">
        <v>30</v>
      </c>
      <c r="B32" s="29">
        <v>0</v>
      </c>
      <c r="C32" s="48"/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42"/>
      <c r="O32" s="42"/>
    </row>
    <row r="33" spans="1:15" ht="15" x14ac:dyDescent="0.2">
      <c r="A33" s="31">
        <v>31</v>
      </c>
      <c r="B33" s="29">
        <v>0</v>
      </c>
      <c r="C33" s="48"/>
      <c r="D33" s="29">
        <v>0</v>
      </c>
      <c r="E33" s="48"/>
      <c r="F33" s="29">
        <v>0</v>
      </c>
      <c r="G33" s="48"/>
      <c r="H33" s="29">
        <v>0</v>
      </c>
      <c r="I33" s="29">
        <v>0</v>
      </c>
      <c r="J33" s="48"/>
      <c r="K33" s="29">
        <v>0</v>
      </c>
      <c r="L33" s="48"/>
      <c r="M33" s="29">
        <v>0</v>
      </c>
      <c r="N33" s="42"/>
      <c r="O33" s="42"/>
    </row>
    <row r="34" spans="1:15" x14ac:dyDescent="0.2">
      <c r="A34" s="42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2"/>
      <c r="O34" s="42"/>
    </row>
    <row r="35" spans="1:15" ht="14.25" x14ac:dyDescent="0.2">
      <c r="A35" s="27" t="s">
        <v>78</v>
      </c>
      <c r="B35" s="54">
        <v>0</v>
      </c>
      <c r="C35" s="54">
        <v>3.6</v>
      </c>
      <c r="D35" s="54">
        <v>0</v>
      </c>
      <c r="E35" s="54">
        <v>0</v>
      </c>
      <c r="F35" s="54">
        <v>0</v>
      </c>
      <c r="G35" s="54">
        <v>132.80000000000001</v>
      </c>
      <c r="H35" s="54">
        <v>183.4</v>
      </c>
      <c r="I35" s="54">
        <v>183</v>
      </c>
      <c r="J35" s="54">
        <v>130.6</v>
      </c>
      <c r="K35" s="54">
        <v>0</v>
      </c>
      <c r="L35" s="54">
        <v>0</v>
      </c>
      <c r="M35" s="54">
        <v>0</v>
      </c>
      <c r="N35" s="42"/>
      <c r="O35" s="42"/>
    </row>
    <row r="36" spans="1:15" ht="12.75" customHeight="1" x14ac:dyDescent="0.2">
      <c r="A36" s="27" t="s">
        <v>76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7</v>
      </c>
      <c r="H36" s="55">
        <v>7</v>
      </c>
      <c r="I36" s="55">
        <v>3</v>
      </c>
      <c r="J36" s="55">
        <v>7</v>
      </c>
      <c r="K36" s="55">
        <v>0</v>
      </c>
      <c r="L36" s="55">
        <v>0</v>
      </c>
      <c r="M36" s="55">
        <v>0</v>
      </c>
      <c r="N36" s="45"/>
      <c r="O36" s="45"/>
    </row>
    <row r="37" spans="1:15" ht="12.75" customHeight="1" x14ac:dyDescent="0.2">
      <c r="A37" s="27" t="s">
        <v>77</v>
      </c>
      <c r="B37" s="55">
        <v>31</v>
      </c>
      <c r="C37" s="55">
        <v>28</v>
      </c>
      <c r="D37" s="55">
        <v>31</v>
      </c>
      <c r="E37" s="55">
        <v>30</v>
      </c>
      <c r="F37" s="55">
        <v>31</v>
      </c>
      <c r="G37" s="55">
        <v>30</v>
      </c>
      <c r="H37" s="55">
        <v>31</v>
      </c>
      <c r="I37" s="55">
        <v>31</v>
      </c>
      <c r="J37" s="55">
        <v>30</v>
      </c>
      <c r="K37" s="55">
        <v>31</v>
      </c>
      <c r="L37" s="55">
        <v>30</v>
      </c>
      <c r="M37" s="55">
        <v>31</v>
      </c>
      <c r="N37" s="42"/>
      <c r="O37" s="42"/>
    </row>
    <row r="38" spans="1:1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5" x14ac:dyDescent="0.2">
      <c r="A39" s="56" t="s">
        <v>98</v>
      </c>
      <c r="B39" s="57"/>
      <c r="C39" s="57"/>
      <c r="D39" s="57"/>
    </row>
    <row r="40" spans="1:15" ht="15.75" x14ac:dyDescent="0.2">
      <c r="A40" s="58" t="s">
        <v>97</v>
      </c>
      <c r="B40" s="57"/>
      <c r="C40" s="57"/>
      <c r="D40" s="57"/>
    </row>
  </sheetData>
  <pageMargins left="0.7" right="0.7" top="0.75" bottom="0.75" header="0.3" footer="0.3"/>
  <pageSetup paperSize="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CE55-E3FA-43CE-AD10-70D045B13708}">
  <dimension ref="B2:V43"/>
  <sheetViews>
    <sheetView topLeftCell="A14" workbookViewId="0">
      <selection activeCell="E53" sqref="E53"/>
    </sheetView>
  </sheetViews>
  <sheetFormatPr defaultRowHeight="12.75" x14ac:dyDescent="0.2"/>
  <cols>
    <col min="2" max="2" width="29.1640625" customWidth="1"/>
  </cols>
  <sheetData>
    <row r="2" spans="2:14" ht="15" x14ac:dyDescent="0.2">
      <c r="B2" s="13" t="s">
        <v>63</v>
      </c>
      <c r="C2" s="13" t="s">
        <v>52</v>
      </c>
      <c r="D2" s="13" t="s">
        <v>64</v>
      </c>
      <c r="E2" s="13" t="s">
        <v>53</v>
      </c>
      <c r="F2" s="13" t="s">
        <v>65</v>
      </c>
      <c r="G2" s="13" t="s">
        <v>54</v>
      </c>
      <c r="H2" s="13" t="s">
        <v>55</v>
      </c>
      <c r="I2" s="13" t="s">
        <v>56</v>
      </c>
      <c r="J2" s="13" t="s">
        <v>66</v>
      </c>
      <c r="K2" s="13" t="s">
        <v>67</v>
      </c>
      <c r="L2" s="13" t="s">
        <v>68</v>
      </c>
      <c r="M2" s="13" t="s">
        <v>57</v>
      </c>
      <c r="N2" s="13" t="s">
        <v>69</v>
      </c>
    </row>
    <row r="3" spans="2:14" ht="14.25" x14ac:dyDescent="0.2">
      <c r="B3" s="28">
        <v>1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</row>
    <row r="4" spans="2:14" ht="14.25" x14ac:dyDescent="0.2">
      <c r="B4" s="31">
        <v>2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</row>
    <row r="5" spans="2:14" ht="14.25" x14ac:dyDescent="0.2">
      <c r="B5" s="31">
        <v>3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13</v>
      </c>
      <c r="K5" s="29">
        <v>0</v>
      </c>
      <c r="L5" s="29">
        <v>0</v>
      </c>
      <c r="M5" s="29">
        <v>0</v>
      </c>
      <c r="N5" s="29">
        <v>0</v>
      </c>
    </row>
    <row r="6" spans="2:14" ht="14.25" x14ac:dyDescent="0.2">
      <c r="B6" s="31">
        <v>4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1</v>
      </c>
      <c r="K6" s="29">
        <v>32</v>
      </c>
      <c r="L6" s="29">
        <v>0</v>
      </c>
      <c r="M6" s="29">
        <v>0</v>
      </c>
      <c r="N6" s="29">
        <v>0</v>
      </c>
    </row>
    <row r="7" spans="2:14" ht="15" x14ac:dyDescent="0.2">
      <c r="B7" s="31">
        <v>5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30">
        <v>12.4</v>
      </c>
      <c r="L7" s="29">
        <v>0</v>
      </c>
      <c r="M7" s="29">
        <v>0</v>
      </c>
      <c r="N7" s="29">
        <v>0</v>
      </c>
    </row>
    <row r="8" spans="2:14" ht="14.25" x14ac:dyDescent="0.2">
      <c r="B8" s="31">
        <v>6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3.4</v>
      </c>
      <c r="K8" s="29">
        <v>36.799999999999997</v>
      </c>
      <c r="L8" s="29">
        <v>0</v>
      </c>
      <c r="M8" s="29">
        <v>0</v>
      </c>
      <c r="N8" s="29">
        <v>0</v>
      </c>
    </row>
    <row r="9" spans="2:14" ht="15" x14ac:dyDescent="0.2">
      <c r="B9" s="31">
        <v>7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30">
        <v>100.2</v>
      </c>
      <c r="L9" s="29">
        <v>0</v>
      </c>
      <c r="M9" s="29">
        <v>0</v>
      </c>
      <c r="N9" s="29">
        <v>0</v>
      </c>
    </row>
    <row r="10" spans="2:14" ht="14.25" x14ac:dyDescent="0.2">
      <c r="B10" s="31">
        <v>8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</row>
    <row r="11" spans="2:14" ht="14.25" x14ac:dyDescent="0.2">
      <c r="B11" s="31">
        <v>9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5</v>
      </c>
      <c r="K11" s="29">
        <v>0</v>
      </c>
      <c r="L11" s="29">
        <v>0</v>
      </c>
      <c r="M11" s="29">
        <v>0</v>
      </c>
      <c r="N11" s="29">
        <v>0</v>
      </c>
    </row>
    <row r="12" spans="2:14" ht="15" x14ac:dyDescent="0.2">
      <c r="B12" s="31">
        <v>10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2.4</v>
      </c>
      <c r="K12" s="29">
        <v>0</v>
      </c>
      <c r="L12" s="30">
        <v>75.2</v>
      </c>
      <c r="M12" s="29">
        <v>0</v>
      </c>
      <c r="N12" s="29">
        <v>0</v>
      </c>
    </row>
    <row r="13" spans="2:14" ht="15" x14ac:dyDescent="0.2">
      <c r="B13" s="32">
        <v>11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30">
        <v>5.0999999999999996</v>
      </c>
      <c r="K13" s="29">
        <v>0</v>
      </c>
      <c r="L13" s="29">
        <v>85</v>
      </c>
      <c r="M13" s="29">
        <v>0</v>
      </c>
      <c r="N13" s="29">
        <v>0</v>
      </c>
    </row>
    <row r="14" spans="2:14" ht="15" x14ac:dyDescent="0.2">
      <c r="B14" s="32">
        <v>12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</row>
    <row r="15" spans="2:14" ht="15" x14ac:dyDescent="0.2">
      <c r="B15" s="31">
        <v>13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30">
        <v>26.2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</row>
    <row r="16" spans="2:14" ht="15" x14ac:dyDescent="0.2">
      <c r="B16" s="32">
        <v>14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30">
        <v>24.6</v>
      </c>
      <c r="K16" s="29">
        <v>0</v>
      </c>
      <c r="L16" s="29">
        <v>0</v>
      </c>
      <c r="M16" s="29">
        <v>0</v>
      </c>
      <c r="N16" s="29">
        <v>0</v>
      </c>
    </row>
    <row r="17" spans="2:14" ht="15" x14ac:dyDescent="0.2">
      <c r="B17" s="32">
        <v>15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</row>
    <row r="18" spans="2:14" ht="15" x14ac:dyDescent="0.2">
      <c r="B18" s="31">
        <v>16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30">
        <v>6.2</v>
      </c>
      <c r="J18" s="30">
        <v>47.6</v>
      </c>
      <c r="K18" s="29">
        <v>0</v>
      </c>
      <c r="L18" s="29">
        <v>0</v>
      </c>
      <c r="M18" s="29">
        <v>0</v>
      </c>
      <c r="N18" s="29">
        <v>0</v>
      </c>
    </row>
    <row r="19" spans="2:14" ht="14.25" x14ac:dyDescent="0.2">
      <c r="B19" s="31">
        <v>17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30.8</v>
      </c>
      <c r="J19" s="29">
        <v>1.6</v>
      </c>
      <c r="K19" s="29">
        <v>0</v>
      </c>
      <c r="L19" s="29">
        <v>0</v>
      </c>
      <c r="M19" s="29">
        <v>0</v>
      </c>
      <c r="N19" s="29">
        <v>0</v>
      </c>
    </row>
    <row r="20" spans="2:14" ht="15" x14ac:dyDescent="0.2">
      <c r="B20" s="32">
        <v>18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30">
        <v>4.2</v>
      </c>
      <c r="J20" s="29">
        <v>8</v>
      </c>
      <c r="K20" s="29">
        <v>0</v>
      </c>
      <c r="L20" s="29">
        <v>0</v>
      </c>
      <c r="M20" s="29">
        <v>0</v>
      </c>
      <c r="N20" s="29">
        <v>0</v>
      </c>
    </row>
    <row r="21" spans="2:14" ht="14.25" x14ac:dyDescent="0.2">
      <c r="B21" s="31">
        <v>19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15.2</v>
      </c>
      <c r="J21" s="29">
        <v>52</v>
      </c>
      <c r="K21" s="29">
        <v>0</v>
      </c>
      <c r="L21" s="29">
        <v>0</v>
      </c>
      <c r="M21" s="29">
        <v>0</v>
      </c>
      <c r="N21" s="29">
        <v>0</v>
      </c>
    </row>
    <row r="22" spans="2:14" ht="14.25" x14ac:dyDescent="0.2">
      <c r="B22" s="31">
        <v>20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15</v>
      </c>
      <c r="J22" s="29">
        <v>2.4</v>
      </c>
      <c r="K22" s="29">
        <v>0</v>
      </c>
      <c r="L22" s="29">
        <v>0</v>
      </c>
      <c r="M22" s="29">
        <v>0</v>
      </c>
      <c r="N22" s="29">
        <v>0</v>
      </c>
    </row>
    <row r="23" spans="2:14" ht="14.25" x14ac:dyDescent="0.2">
      <c r="B23" s="31">
        <v>21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</row>
    <row r="24" spans="2:14" ht="15" x14ac:dyDescent="0.2">
      <c r="B24" s="32">
        <v>22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3.4</v>
      </c>
      <c r="K24" s="29">
        <v>0</v>
      </c>
      <c r="L24" s="29">
        <v>0</v>
      </c>
      <c r="M24" s="29">
        <v>0</v>
      </c>
      <c r="N24" s="29">
        <v>0</v>
      </c>
    </row>
    <row r="25" spans="2:14" ht="14.25" x14ac:dyDescent="0.2">
      <c r="B25" s="31">
        <v>23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1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</row>
    <row r="26" spans="2:14" ht="15" x14ac:dyDescent="0.2">
      <c r="B26" s="32">
        <v>24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</row>
    <row r="27" spans="2:14" ht="14.25" x14ac:dyDescent="0.2">
      <c r="B27" s="31">
        <v>25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5.8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</row>
    <row r="28" spans="2:14" ht="14.25" x14ac:dyDescent="0.2">
      <c r="B28" s="31">
        <v>26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1.6</v>
      </c>
      <c r="K28" s="29">
        <v>0</v>
      </c>
      <c r="L28" s="29">
        <v>0</v>
      </c>
      <c r="M28" s="29">
        <v>0</v>
      </c>
      <c r="N28" s="29">
        <v>0</v>
      </c>
    </row>
    <row r="29" spans="2:14" ht="14.25" x14ac:dyDescent="0.2">
      <c r="B29" s="31">
        <v>27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48.5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2:14" ht="14.25" x14ac:dyDescent="0.2">
      <c r="B30" s="31">
        <v>28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</row>
    <row r="31" spans="2:14" ht="14.25" x14ac:dyDescent="0.2">
      <c r="B31" s="31">
        <v>29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21.2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</row>
    <row r="32" spans="2:14" ht="14.25" x14ac:dyDescent="0.2">
      <c r="B32" s="31">
        <v>30</v>
      </c>
      <c r="C32" s="29">
        <v>0</v>
      </c>
      <c r="D32" s="28"/>
      <c r="E32" s="29">
        <v>0</v>
      </c>
      <c r="F32" s="29">
        <v>0</v>
      </c>
      <c r="G32" s="29">
        <v>0</v>
      </c>
      <c r="H32" s="29">
        <v>0</v>
      </c>
      <c r="I32" s="29">
        <v>17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</row>
    <row r="33" spans="2:22" ht="14.25" x14ac:dyDescent="0.2">
      <c r="B33" s="31">
        <v>31</v>
      </c>
      <c r="C33" s="29">
        <v>0</v>
      </c>
      <c r="D33" s="28"/>
      <c r="E33" s="29">
        <v>0</v>
      </c>
      <c r="F33" s="28"/>
      <c r="G33" s="29">
        <v>0</v>
      </c>
      <c r="H33" s="28"/>
      <c r="I33" s="29">
        <v>0</v>
      </c>
      <c r="J33" s="29">
        <v>10</v>
      </c>
      <c r="K33" s="28"/>
      <c r="L33" s="29">
        <v>0</v>
      </c>
      <c r="M33" s="28"/>
      <c r="N33" s="29">
        <v>0</v>
      </c>
    </row>
    <row r="34" spans="2:22" x14ac:dyDescent="0.2">
      <c r="B34" s="6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2:22" x14ac:dyDescent="0.2">
      <c r="B35" s="2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2:22" ht="14.25" x14ac:dyDescent="0.2">
      <c r="B36" s="27" t="s">
        <v>78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194.1</v>
      </c>
      <c r="J36" s="24">
        <v>181.1</v>
      </c>
      <c r="K36" s="24">
        <v>181.4</v>
      </c>
      <c r="L36" s="24">
        <v>160.19999999999999</v>
      </c>
      <c r="M36" s="24">
        <v>0</v>
      </c>
      <c r="N36" s="24">
        <v>0</v>
      </c>
    </row>
    <row r="37" spans="2:22" ht="14.25" x14ac:dyDescent="0.2">
      <c r="B37" s="27" t="s">
        <v>76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11</v>
      </c>
      <c r="J37" s="25">
        <v>10</v>
      </c>
      <c r="K37" s="25">
        <v>4</v>
      </c>
      <c r="L37" s="25">
        <v>2</v>
      </c>
      <c r="M37" s="25">
        <v>0</v>
      </c>
      <c r="N37" s="25">
        <v>0</v>
      </c>
    </row>
    <row r="38" spans="2:22" ht="28.5" x14ac:dyDescent="0.2">
      <c r="B38" s="27" t="s">
        <v>77</v>
      </c>
      <c r="C38" s="25">
        <v>31</v>
      </c>
      <c r="D38" s="25">
        <v>29</v>
      </c>
      <c r="E38" s="25">
        <v>31</v>
      </c>
      <c r="F38" s="25">
        <v>30</v>
      </c>
      <c r="G38" s="25">
        <v>31</v>
      </c>
      <c r="H38" s="25">
        <v>30</v>
      </c>
      <c r="I38" s="25">
        <v>31</v>
      </c>
      <c r="J38" s="25">
        <v>31</v>
      </c>
      <c r="K38" s="25">
        <v>30</v>
      </c>
      <c r="L38" s="25">
        <v>31</v>
      </c>
      <c r="M38" s="25">
        <v>30</v>
      </c>
      <c r="N38" s="25">
        <v>31</v>
      </c>
    </row>
    <row r="39" spans="2:22" x14ac:dyDescent="0.2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2:22" ht="12.75" customHeight="1" x14ac:dyDescent="0.2">
      <c r="B40" s="40" t="s">
        <v>1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2:22" ht="12.75" customHeight="1" x14ac:dyDescent="0.2">
      <c r="B41" s="41" t="s">
        <v>92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2:22" x14ac:dyDescent="0.2">
      <c r="B42" t="s">
        <v>93</v>
      </c>
    </row>
    <row r="43" spans="2:22" x14ac:dyDescent="0.2">
      <c r="B43" t="s">
        <v>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72D4-B8A6-4B0C-B0FD-53B93B5729DE}">
  <dimension ref="B2:BT42"/>
  <sheetViews>
    <sheetView topLeftCell="A11" workbookViewId="0">
      <selection activeCell="B37" sqref="B37"/>
    </sheetView>
  </sheetViews>
  <sheetFormatPr defaultRowHeight="12.75" x14ac:dyDescent="0.2"/>
  <cols>
    <col min="2" max="2" width="20.6640625" customWidth="1"/>
  </cols>
  <sheetData>
    <row r="2" spans="2:14" ht="15" x14ac:dyDescent="0.2">
      <c r="B2" s="13" t="s">
        <v>63</v>
      </c>
      <c r="C2" s="13" t="s">
        <v>52</v>
      </c>
      <c r="D2" s="13" t="s">
        <v>64</v>
      </c>
      <c r="E2" s="13" t="s">
        <v>53</v>
      </c>
      <c r="F2" s="13" t="s">
        <v>65</v>
      </c>
      <c r="G2" s="13" t="s">
        <v>54</v>
      </c>
      <c r="H2" s="13" t="s">
        <v>55</v>
      </c>
      <c r="I2" s="13" t="s">
        <v>56</v>
      </c>
      <c r="J2" s="13" t="s">
        <v>66</v>
      </c>
      <c r="K2" s="13" t="s">
        <v>67</v>
      </c>
      <c r="L2" s="13" t="s">
        <v>68</v>
      </c>
      <c r="M2" s="13" t="s">
        <v>57</v>
      </c>
      <c r="N2" s="13" t="s">
        <v>69</v>
      </c>
    </row>
    <row r="3" spans="2:14" ht="15" x14ac:dyDescent="0.2">
      <c r="B3" s="28">
        <v>1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9.1999999999999993</v>
      </c>
      <c r="K3" s="30">
        <v>54.4</v>
      </c>
      <c r="L3" s="29">
        <v>0</v>
      </c>
      <c r="M3" s="29">
        <v>0</v>
      </c>
      <c r="N3" s="29">
        <v>0</v>
      </c>
    </row>
    <row r="4" spans="2:14" ht="15" x14ac:dyDescent="0.2">
      <c r="B4" s="31">
        <v>2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30">
        <v>13.4</v>
      </c>
      <c r="J4" s="29">
        <v>1</v>
      </c>
      <c r="K4" s="30">
        <v>25.6</v>
      </c>
      <c r="L4" s="29">
        <v>0</v>
      </c>
      <c r="M4" s="29">
        <v>0</v>
      </c>
      <c r="N4" s="29">
        <v>0</v>
      </c>
    </row>
    <row r="5" spans="2:14" ht="15" x14ac:dyDescent="0.2">
      <c r="B5" s="31">
        <v>3</v>
      </c>
      <c r="C5" s="29">
        <v>0</v>
      </c>
      <c r="D5" s="29">
        <v>0</v>
      </c>
      <c r="E5" s="29">
        <v>0</v>
      </c>
      <c r="F5" s="29">
        <v>2</v>
      </c>
      <c r="G5" s="29">
        <v>0</v>
      </c>
      <c r="H5" s="29">
        <v>0</v>
      </c>
      <c r="I5" s="29">
        <v>0</v>
      </c>
      <c r="J5" s="30">
        <v>2.2000000000000002</v>
      </c>
      <c r="K5" s="29">
        <v>6.4</v>
      </c>
      <c r="L5" s="29">
        <v>0</v>
      </c>
      <c r="M5" s="29">
        <v>0</v>
      </c>
      <c r="N5" s="29">
        <v>0</v>
      </c>
    </row>
    <row r="6" spans="2:14" ht="14.25" x14ac:dyDescent="0.2">
      <c r="B6" s="31">
        <v>4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3</v>
      </c>
      <c r="L6" s="29">
        <v>0</v>
      </c>
      <c r="M6" s="29">
        <v>0</v>
      </c>
      <c r="N6" s="29">
        <v>0</v>
      </c>
    </row>
    <row r="7" spans="2:14" ht="14.25" x14ac:dyDescent="0.2">
      <c r="B7" s="31">
        <v>5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</row>
    <row r="8" spans="2:14" ht="14.25" x14ac:dyDescent="0.2">
      <c r="B8" s="31">
        <v>6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</row>
    <row r="9" spans="2:14" ht="14.25" x14ac:dyDescent="0.2">
      <c r="B9" s="31">
        <v>7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</row>
    <row r="10" spans="2:14" ht="14.25" x14ac:dyDescent="0.2">
      <c r="B10" s="31">
        <v>8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</row>
    <row r="11" spans="2:14" ht="14.25" x14ac:dyDescent="0.2">
      <c r="B11" s="31">
        <v>9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</row>
    <row r="12" spans="2:14" ht="14.25" x14ac:dyDescent="0.2">
      <c r="B12" s="31">
        <v>10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</row>
    <row r="13" spans="2:14" ht="14.25" x14ac:dyDescent="0.2">
      <c r="B13" s="31">
        <v>11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</row>
    <row r="14" spans="2:14" ht="15" x14ac:dyDescent="0.2">
      <c r="B14" s="32">
        <v>12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</row>
    <row r="15" spans="2:14" ht="15" x14ac:dyDescent="0.2">
      <c r="B15" s="32">
        <v>13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30">
        <v>5.6</v>
      </c>
      <c r="K15" s="29">
        <v>0</v>
      </c>
      <c r="L15" s="29">
        <v>0</v>
      </c>
      <c r="M15" s="29">
        <v>0</v>
      </c>
      <c r="N15" s="29">
        <v>0</v>
      </c>
    </row>
    <row r="16" spans="2:14" ht="15" x14ac:dyDescent="0.2">
      <c r="B16" s="32">
        <v>14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19.600000000000001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</row>
    <row r="17" spans="2:14" ht="15" x14ac:dyDescent="0.2">
      <c r="B17" s="31">
        <v>15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30">
        <v>24.2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</row>
    <row r="18" spans="2:14" ht="14.25" x14ac:dyDescent="0.2">
      <c r="B18" s="31">
        <v>16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</row>
    <row r="19" spans="2:14" ht="14.25" x14ac:dyDescent="0.2">
      <c r="B19" s="31">
        <v>17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</row>
    <row r="20" spans="2:14" ht="14.25" x14ac:dyDescent="0.2">
      <c r="B20" s="31">
        <v>18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1.2</v>
      </c>
      <c r="K20" s="29">
        <v>0</v>
      </c>
      <c r="L20" s="29">
        <v>0</v>
      </c>
      <c r="M20" s="29">
        <v>0</v>
      </c>
      <c r="N20" s="29">
        <v>0</v>
      </c>
    </row>
    <row r="21" spans="2:14" ht="14.25" x14ac:dyDescent="0.2">
      <c r="B21" s="31">
        <v>19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9.1999999999999993</v>
      </c>
      <c r="J21" s="29">
        <v>30.6</v>
      </c>
      <c r="K21" s="29">
        <v>0</v>
      </c>
      <c r="L21" s="29">
        <v>0</v>
      </c>
      <c r="M21" s="29">
        <v>0</v>
      </c>
      <c r="N21" s="29">
        <v>0</v>
      </c>
    </row>
    <row r="22" spans="2:14" ht="15" x14ac:dyDescent="0.2">
      <c r="B22" s="31">
        <v>20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30">
        <v>44.2</v>
      </c>
      <c r="K22" s="29">
        <v>0</v>
      </c>
      <c r="L22" s="29">
        <v>0</v>
      </c>
      <c r="M22" s="29">
        <v>0</v>
      </c>
      <c r="N22" s="29">
        <v>0</v>
      </c>
    </row>
    <row r="23" spans="2:14" ht="14.25" x14ac:dyDescent="0.2">
      <c r="B23" s="31">
        <v>21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7</v>
      </c>
      <c r="I23" s="29">
        <v>51.6</v>
      </c>
      <c r="J23" s="29">
        <v>85.6</v>
      </c>
      <c r="K23" s="29">
        <v>0</v>
      </c>
      <c r="L23" s="29">
        <v>0</v>
      </c>
      <c r="M23" s="29">
        <v>0</v>
      </c>
      <c r="N23" s="29">
        <v>0</v>
      </c>
    </row>
    <row r="24" spans="2:14" ht="15" x14ac:dyDescent="0.2">
      <c r="B24" s="32">
        <v>22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175.2</v>
      </c>
      <c r="J24" s="30">
        <v>64.400000000000006</v>
      </c>
      <c r="K24" s="29">
        <v>0</v>
      </c>
      <c r="L24" s="29">
        <v>0</v>
      </c>
      <c r="M24" s="29">
        <v>0</v>
      </c>
      <c r="N24" s="29">
        <v>0</v>
      </c>
    </row>
    <row r="25" spans="2:14" ht="14.25" x14ac:dyDescent="0.2">
      <c r="B25" s="31">
        <v>23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29.2</v>
      </c>
      <c r="J25" s="29">
        <v>1.2</v>
      </c>
      <c r="K25" s="29">
        <v>0</v>
      </c>
      <c r="L25" s="29">
        <v>0</v>
      </c>
      <c r="M25" s="29">
        <v>0</v>
      </c>
      <c r="N25" s="29">
        <v>0</v>
      </c>
    </row>
    <row r="26" spans="2:14" ht="15" x14ac:dyDescent="0.2">
      <c r="B26" s="32">
        <v>24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19.2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</row>
    <row r="27" spans="2:14" ht="14.25" x14ac:dyDescent="0.2">
      <c r="B27" s="31">
        <v>25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127.4</v>
      </c>
      <c r="J27" s="29">
        <v>60.3</v>
      </c>
      <c r="K27" s="29">
        <v>0</v>
      </c>
      <c r="L27" s="29">
        <v>0</v>
      </c>
      <c r="M27" s="29">
        <v>0</v>
      </c>
      <c r="N27" s="29">
        <v>0</v>
      </c>
    </row>
    <row r="28" spans="2:14" ht="14.25" x14ac:dyDescent="0.2">
      <c r="B28" s="31">
        <v>26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18.2</v>
      </c>
      <c r="J28" s="29">
        <v>51.6</v>
      </c>
      <c r="K28" s="29">
        <v>0</v>
      </c>
      <c r="L28" s="29">
        <v>0</v>
      </c>
      <c r="M28" s="29">
        <v>0</v>
      </c>
      <c r="N28" s="29">
        <v>0</v>
      </c>
    </row>
    <row r="29" spans="2:14" ht="14.25" x14ac:dyDescent="0.2">
      <c r="B29" s="31">
        <v>27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10.199999999999999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2:14" ht="14.25" x14ac:dyDescent="0.2">
      <c r="B30" s="31">
        <v>28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</row>
    <row r="31" spans="2:14" ht="14.25" x14ac:dyDescent="0.2">
      <c r="B31" s="31">
        <v>29</v>
      </c>
      <c r="C31" s="29">
        <v>0</v>
      </c>
      <c r="D31" s="28"/>
      <c r="E31" s="29">
        <v>0</v>
      </c>
      <c r="F31" s="29">
        <v>0</v>
      </c>
      <c r="G31" s="29">
        <v>0</v>
      </c>
      <c r="H31" s="29">
        <v>0</v>
      </c>
      <c r="I31" s="29">
        <v>18.399999999999999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</row>
    <row r="32" spans="2:14" ht="14.25" x14ac:dyDescent="0.2">
      <c r="B32" s="31">
        <v>30</v>
      </c>
      <c r="C32" s="29">
        <v>0</v>
      </c>
      <c r="D32" s="28"/>
      <c r="E32" s="29">
        <v>0</v>
      </c>
      <c r="F32" s="29">
        <v>0</v>
      </c>
      <c r="G32" s="29">
        <v>0</v>
      </c>
      <c r="H32" s="29">
        <v>0</v>
      </c>
      <c r="I32" s="29">
        <v>2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</row>
    <row r="33" spans="2:72" ht="14.25" x14ac:dyDescent="0.2">
      <c r="B33" s="31">
        <v>31</v>
      </c>
      <c r="C33" s="29">
        <v>0</v>
      </c>
      <c r="D33" s="28"/>
      <c r="E33" s="29">
        <v>0</v>
      </c>
      <c r="F33" s="28"/>
      <c r="G33" s="29">
        <v>0</v>
      </c>
      <c r="H33" s="28"/>
      <c r="I33" s="29">
        <v>8.1999999999999993</v>
      </c>
      <c r="J33" s="29">
        <v>192</v>
      </c>
      <c r="K33" s="28"/>
      <c r="L33" s="29">
        <v>0</v>
      </c>
      <c r="M33" s="28"/>
      <c r="N33" s="29">
        <v>0</v>
      </c>
    </row>
    <row r="35" spans="2:72" ht="27.75" customHeight="1" x14ac:dyDescent="0.2">
      <c r="B35" s="33" t="s">
        <v>78</v>
      </c>
      <c r="C35" s="29">
        <v>0</v>
      </c>
      <c r="D35" s="29">
        <v>0</v>
      </c>
      <c r="E35" s="29">
        <v>0</v>
      </c>
      <c r="F35" s="29">
        <v>2</v>
      </c>
      <c r="G35" s="29">
        <v>0</v>
      </c>
      <c r="H35" s="29">
        <v>7</v>
      </c>
      <c r="I35" s="29">
        <v>526</v>
      </c>
      <c r="J35" s="29">
        <v>549.1</v>
      </c>
      <c r="K35" s="29">
        <v>89.4</v>
      </c>
      <c r="L35" s="29">
        <v>0</v>
      </c>
      <c r="M35" s="29">
        <v>0</v>
      </c>
      <c r="N35" s="29">
        <v>0</v>
      </c>
    </row>
    <row r="36" spans="2:72" ht="22.5" customHeight="1" x14ac:dyDescent="0.2">
      <c r="B36" s="27" t="s">
        <v>76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28"/>
      <c r="I36" s="31">
        <v>13</v>
      </c>
      <c r="J36" s="31">
        <v>9</v>
      </c>
      <c r="K36" s="31">
        <v>4</v>
      </c>
      <c r="L36" s="31">
        <v>0</v>
      </c>
      <c r="M36" s="31">
        <v>0</v>
      </c>
      <c r="N36" s="31">
        <v>0</v>
      </c>
    </row>
    <row r="37" spans="2:72" ht="25.5" customHeight="1" x14ac:dyDescent="0.2">
      <c r="B37" s="27" t="s">
        <v>77</v>
      </c>
      <c r="C37" s="31">
        <v>31</v>
      </c>
      <c r="D37" s="31">
        <v>28</v>
      </c>
      <c r="E37" s="31">
        <v>31</v>
      </c>
      <c r="F37" s="31">
        <v>30</v>
      </c>
      <c r="G37" s="31">
        <v>31</v>
      </c>
      <c r="H37" s="31">
        <v>30</v>
      </c>
      <c r="I37" s="31">
        <v>31</v>
      </c>
      <c r="J37" s="31">
        <v>31</v>
      </c>
      <c r="K37" s="31">
        <v>30</v>
      </c>
      <c r="L37" s="31">
        <v>31</v>
      </c>
      <c r="M37" s="31">
        <v>30</v>
      </c>
      <c r="N37" s="31">
        <v>31</v>
      </c>
    </row>
    <row r="39" spans="2:72" ht="12.75" customHeight="1" x14ac:dyDescent="0.2">
      <c r="B39" s="39" t="s">
        <v>83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</row>
    <row r="40" spans="2:72" ht="12" customHeight="1" x14ac:dyDescent="0.2">
      <c r="B40" s="39" t="s">
        <v>84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</row>
    <row r="41" spans="2:72" x14ac:dyDescent="0.2">
      <c r="B41" s="34" t="s">
        <v>85</v>
      </c>
    </row>
    <row r="42" spans="2:72" x14ac:dyDescent="0.2">
      <c r="B42" t="s">
        <v>86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899C-2BCA-41E9-9380-128EF29612C4}">
  <dimension ref="B2:N47"/>
  <sheetViews>
    <sheetView workbookViewId="0">
      <selection activeCell="S34" sqref="S34"/>
    </sheetView>
  </sheetViews>
  <sheetFormatPr defaultRowHeight="12.75" x14ac:dyDescent="0.2"/>
  <cols>
    <col min="2" max="2" width="11.83203125" customWidth="1"/>
    <col min="3" max="14" width="10.33203125" customWidth="1"/>
  </cols>
  <sheetData>
    <row r="2" spans="2:14" ht="15" x14ac:dyDescent="0.2">
      <c r="B2" s="13" t="s">
        <v>63</v>
      </c>
      <c r="C2" s="13" t="s">
        <v>52</v>
      </c>
      <c r="D2" s="13" t="s">
        <v>64</v>
      </c>
      <c r="E2" s="13" t="s">
        <v>53</v>
      </c>
      <c r="F2" s="13" t="s">
        <v>65</v>
      </c>
      <c r="G2" s="13" t="s">
        <v>54</v>
      </c>
      <c r="H2" s="13" t="s">
        <v>55</v>
      </c>
      <c r="I2" s="13" t="s">
        <v>56</v>
      </c>
      <c r="J2" s="13" t="s">
        <v>66</v>
      </c>
      <c r="K2" s="13" t="s">
        <v>67</v>
      </c>
      <c r="L2" s="13" t="s">
        <v>68</v>
      </c>
      <c r="M2" s="13" t="s">
        <v>57</v>
      </c>
      <c r="N2" s="13" t="s">
        <v>69</v>
      </c>
    </row>
    <row r="3" spans="2:14" x14ac:dyDescent="0.2">
      <c r="B3" s="7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2:14" x14ac:dyDescent="0.2">
      <c r="B4" s="7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0.6</v>
      </c>
      <c r="L4" s="8">
        <v>0</v>
      </c>
      <c r="M4" s="8">
        <v>0</v>
      </c>
      <c r="N4" s="8">
        <v>0</v>
      </c>
    </row>
    <row r="5" spans="2:14" x14ac:dyDescent="0.2">
      <c r="B5" s="7">
        <v>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2:14" x14ac:dyDescent="0.2">
      <c r="B6" s="9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10">
        <v>11.2</v>
      </c>
      <c r="K6" s="10">
        <v>0.2</v>
      </c>
      <c r="L6" s="8">
        <v>0</v>
      </c>
      <c r="M6" s="8">
        <v>0</v>
      </c>
      <c r="N6" s="8">
        <v>0</v>
      </c>
    </row>
    <row r="7" spans="2:14" x14ac:dyDescent="0.2">
      <c r="B7" s="7">
        <v>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6.8</v>
      </c>
      <c r="L7" s="8">
        <v>0</v>
      </c>
      <c r="M7" s="8">
        <v>0</v>
      </c>
      <c r="N7" s="8">
        <v>0</v>
      </c>
    </row>
    <row r="8" spans="2:14" x14ac:dyDescent="0.2">
      <c r="B8" s="7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</row>
    <row r="9" spans="2:14" x14ac:dyDescent="0.2">
      <c r="B9" s="7">
        <v>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10">
        <v>24.8</v>
      </c>
      <c r="L9" s="8">
        <v>0</v>
      </c>
      <c r="M9" s="8">
        <v>0</v>
      </c>
      <c r="N9" s="8">
        <v>0</v>
      </c>
    </row>
    <row r="10" spans="2:14" x14ac:dyDescent="0.2">
      <c r="B10" s="7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10">
        <v>28.2</v>
      </c>
      <c r="K10" s="10">
        <v>2.2000000000000002</v>
      </c>
      <c r="L10" s="8">
        <v>0</v>
      </c>
      <c r="M10" s="8">
        <v>0</v>
      </c>
      <c r="N10" s="8">
        <v>0</v>
      </c>
    </row>
    <row r="11" spans="2:14" x14ac:dyDescent="0.2">
      <c r="B11" s="7">
        <v>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51.2</v>
      </c>
      <c r="K11" s="8">
        <v>0</v>
      </c>
      <c r="L11" s="8">
        <v>0</v>
      </c>
      <c r="M11" s="8">
        <v>0</v>
      </c>
      <c r="N11" s="8">
        <v>0</v>
      </c>
    </row>
    <row r="12" spans="2:14" x14ac:dyDescent="0.2">
      <c r="B12" s="11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10">
        <v>70.8</v>
      </c>
      <c r="K12" s="8">
        <v>0</v>
      </c>
      <c r="L12" s="8">
        <v>0</v>
      </c>
      <c r="M12" s="8">
        <v>0</v>
      </c>
      <c r="N12" s="8">
        <v>0</v>
      </c>
    </row>
    <row r="13" spans="2:14" x14ac:dyDescent="0.2">
      <c r="B13" s="9">
        <v>11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10">
        <v>80.400000000000006</v>
      </c>
      <c r="M13" s="8">
        <v>0</v>
      </c>
      <c r="N13" s="8">
        <v>0</v>
      </c>
    </row>
    <row r="14" spans="2:14" x14ac:dyDescent="0.2">
      <c r="B14" s="9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10">
        <v>3.2</v>
      </c>
      <c r="K14" s="8">
        <v>0</v>
      </c>
      <c r="L14" s="10">
        <v>13.4</v>
      </c>
      <c r="M14" s="8">
        <v>0</v>
      </c>
      <c r="N14" s="8">
        <v>0</v>
      </c>
    </row>
    <row r="15" spans="2:14" x14ac:dyDescent="0.2">
      <c r="B15" s="9">
        <v>13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2:14" x14ac:dyDescent="0.2">
      <c r="B16" s="9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10">
        <v>19.2</v>
      </c>
      <c r="J16" s="10">
        <v>2.2000000000000002</v>
      </c>
      <c r="K16" s="8">
        <v>0</v>
      </c>
      <c r="L16" s="8">
        <v>0</v>
      </c>
      <c r="M16" s="8">
        <v>0</v>
      </c>
      <c r="N16" s="8">
        <v>0</v>
      </c>
    </row>
    <row r="17" spans="2:14" x14ac:dyDescent="0.2">
      <c r="B17" s="9">
        <v>15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10">
        <v>14.8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2:14" x14ac:dyDescent="0.2">
      <c r="B18" s="9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10">
        <v>4.2</v>
      </c>
      <c r="J18" s="10">
        <v>6.2</v>
      </c>
      <c r="K18" s="8">
        <v>0</v>
      </c>
      <c r="L18" s="8">
        <v>0</v>
      </c>
      <c r="M18" s="8">
        <v>0</v>
      </c>
      <c r="N18" s="8">
        <v>0</v>
      </c>
    </row>
    <row r="19" spans="2:14" x14ac:dyDescent="0.2">
      <c r="B19" s="9">
        <v>17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10">
        <v>25</v>
      </c>
      <c r="J19" s="10">
        <v>13</v>
      </c>
      <c r="K19" s="8">
        <v>0</v>
      </c>
      <c r="L19" s="8">
        <v>0</v>
      </c>
      <c r="M19" s="8">
        <v>0</v>
      </c>
      <c r="N19" s="8">
        <v>0</v>
      </c>
    </row>
    <row r="20" spans="2:14" x14ac:dyDescent="0.2">
      <c r="B20" s="9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10">
        <v>54.2</v>
      </c>
      <c r="J20" s="10">
        <v>12.2</v>
      </c>
      <c r="K20" s="8">
        <v>0</v>
      </c>
      <c r="L20" s="8">
        <v>0</v>
      </c>
      <c r="M20" s="8">
        <v>0</v>
      </c>
      <c r="N20" s="8">
        <v>0</v>
      </c>
    </row>
    <row r="21" spans="2:14" x14ac:dyDescent="0.2">
      <c r="B21" s="9">
        <v>19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10">
        <v>11.4</v>
      </c>
      <c r="J21" s="10">
        <v>37.4</v>
      </c>
      <c r="K21" s="8">
        <v>0</v>
      </c>
      <c r="L21" s="8">
        <v>0</v>
      </c>
      <c r="M21" s="8">
        <v>0</v>
      </c>
      <c r="N21" s="8">
        <v>0</v>
      </c>
    </row>
    <row r="22" spans="2:14" x14ac:dyDescent="0.2">
      <c r="B22" s="9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10">
        <v>20.2</v>
      </c>
      <c r="J22" s="10">
        <v>4.2</v>
      </c>
      <c r="K22" s="10">
        <v>11.6</v>
      </c>
      <c r="L22" s="8">
        <v>0</v>
      </c>
      <c r="M22" s="8">
        <v>0</v>
      </c>
      <c r="N22" s="8">
        <v>0</v>
      </c>
    </row>
    <row r="23" spans="2:14" x14ac:dyDescent="0.2">
      <c r="B23" s="9">
        <v>21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10">
        <v>3.2</v>
      </c>
      <c r="J23" s="10">
        <v>2.2000000000000002</v>
      </c>
      <c r="K23" s="8">
        <v>0</v>
      </c>
      <c r="L23" s="8">
        <v>0</v>
      </c>
      <c r="M23" s="8">
        <v>0</v>
      </c>
      <c r="N23" s="8">
        <v>0</v>
      </c>
    </row>
    <row r="24" spans="2:14" x14ac:dyDescent="0.2">
      <c r="B24" s="9">
        <v>22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10">
        <v>16</v>
      </c>
      <c r="J24" s="10">
        <v>3.2</v>
      </c>
      <c r="K24" s="8">
        <v>0</v>
      </c>
      <c r="L24" s="8">
        <v>0</v>
      </c>
      <c r="M24" s="8">
        <v>0</v>
      </c>
      <c r="N24" s="8">
        <v>0</v>
      </c>
    </row>
    <row r="25" spans="2:14" x14ac:dyDescent="0.2">
      <c r="B25" s="9">
        <v>23</v>
      </c>
      <c r="C25" s="8">
        <v>0</v>
      </c>
      <c r="D25" s="8">
        <v>0</v>
      </c>
      <c r="E25" s="8">
        <v>0</v>
      </c>
      <c r="F25" s="8">
        <v>0</v>
      </c>
      <c r="G25" s="10">
        <v>41.6</v>
      </c>
      <c r="H25" s="8">
        <v>0</v>
      </c>
      <c r="I25" s="10">
        <v>2.2000000000000002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2:14" x14ac:dyDescent="0.2">
      <c r="B26" s="9">
        <v>24</v>
      </c>
      <c r="C26" s="8">
        <v>0</v>
      </c>
      <c r="D26" s="8">
        <v>0</v>
      </c>
      <c r="E26" s="8">
        <v>0</v>
      </c>
      <c r="F26" s="8">
        <v>0</v>
      </c>
      <c r="G26" s="10">
        <v>13.2</v>
      </c>
      <c r="H26" s="8">
        <v>0</v>
      </c>
      <c r="I26" s="10">
        <v>2.2000000000000002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2:14" x14ac:dyDescent="0.2">
      <c r="B27" s="9">
        <v>25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10">
        <v>52.2</v>
      </c>
      <c r="J27" s="10">
        <v>11.2</v>
      </c>
      <c r="K27" s="8">
        <v>0</v>
      </c>
      <c r="L27" s="8">
        <v>0</v>
      </c>
      <c r="M27" s="8">
        <v>0</v>
      </c>
      <c r="N27" s="8">
        <v>0</v>
      </c>
    </row>
    <row r="28" spans="2:14" x14ac:dyDescent="0.2">
      <c r="B28" s="9">
        <v>26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10">
        <v>15.2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2:14" x14ac:dyDescent="0.2">
      <c r="B29" s="9">
        <v>27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10">
        <v>44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2:14" x14ac:dyDescent="0.2">
      <c r="B30" s="9">
        <v>28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10">
        <v>2.9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2:14" x14ac:dyDescent="0.2">
      <c r="B31" s="9">
        <v>29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8.4</v>
      </c>
      <c r="J31" s="8">
        <v>1.4</v>
      </c>
      <c r="K31" s="8">
        <v>0</v>
      </c>
      <c r="L31" s="8">
        <v>0</v>
      </c>
      <c r="M31" s="8">
        <v>0</v>
      </c>
      <c r="N31" s="8">
        <v>0</v>
      </c>
    </row>
    <row r="32" spans="2:14" x14ac:dyDescent="0.2">
      <c r="B32" s="7">
        <v>30</v>
      </c>
      <c r="C32" s="8">
        <v>0</v>
      </c>
      <c r="D32" s="12"/>
      <c r="E32" s="8">
        <v>0</v>
      </c>
      <c r="F32" s="8">
        <v>0</v>
      </c>
      <c r="G32" s="8">
        <v>0</v>
      </c>
      <c r="H32" s="8">
        <v>0</v>
      </c>
      <c r="I32" s="10">
        <v>47.3</v>
      </c>
      <c r="J32" s="8">
        <v>5.7</v>
      </c>
      <c r="K32" s="8">
        <v>0</v>
      </c>
      <c r="L32" s="8">
        <v>0</v>
      </c>
      <c r="M32" s="8">
        <v>0</v>
      </c>
      <c r="N32" s="8">
        <v>0</v>
      </c>
    </row>
    <row r="33" spans="2:14" x14ac:dyDescent="0.2">
      <c r="B33" s="9">
        <v>31</v>
      </c>
      <c r="C33" s="8">
        <v>0</v>
      </c>
      <c r="D33" s="12"/>
      <c r="E33" s="8">
        <v>0</v>
      </c>
      <c r="F33" s="12"/>
      <c r="G33" s="8">
        <v>0</v>
      </c>
      <c r="H33" s="12"/>
      <c r="I33" s="10">
        <v>1.7</v>
      </c>
      <c r="J33" s="8">
        <v>0.8</v>
      </c>
      <c r="K33" s="12"/>
      <c r="L33" s="8">
        <v>0</v>
      </c>
      <c r="M33" s="12"/>
      <c r="N33" s="8">
        <v>0</v>
      </c>
    </row>
    <row r="34" spans="2:14" x14ac:dyDescent="0.2">
      <c r="B34" s="6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2:14" ht="22.5" x14ac:dyDescent="0.2">
      <c r="B35" s="16" t="s">
        <v>70</v>
      </c>
      <c r="C35" s="17">
        <v>0</v>
      </c>
      <c r="D35" s="17">
        <v>0</v>
      </c>
      <c r="E35" s="17">
        <v>0</v>
      </c>
      <c r="F35" s="17">
        <v>0</v>
      </c>
      <c r="G35" s="18">
        <v>54.8</v>
      </c>
      <c r="H35" s="17">
        <v>0</v>
      </c>
      <c r="I35" s="18">
        <v>344.3</v>
      </c>
      <c r="J35" s="18">
        <v>264.3</v>
      </c>
      <c r="K35" s="18">
        <v>46.2</v>
      </c>
      <c r="L35" s="17">
        <v>93.8</v>
      </c>
      <c r="M35" s="17">
        <v>0</v>
      </c>
      <c r="N35" s="17">
        <v>0</v>
      </c>
    </row>
    <row r="36" spans="2:14" x14ac:dyDescent="0.2"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2:14" ht="22.5" x14ac:dyDescent="0.2">
      <c r="B37" s="16" t="s">
        <v>71</v>
      </c>
      <c r="C37" s="21">
        <v>0</v>
      </c>
      <c r="D37" s="21">
        <v>0</v>
      </c>
      <c r="E37" s="21">
        <v>0</v>
      </c>
      <c r="F37" s="21">
        <v>0</v>
      </c>
      <c r="G37" s="21">
        <v>2</v>
      </c>
      <c r="H37" s="21">
        <v>0</v>
      </c>
      <c r="I37" s="22">
        <v>15</v>
      </c>
      <c r="J37" s="21">
        <v>13</v>
      </c>
      <c r="K37" s="21">
        <v>3</v>
      </c>
      <c r="L37" s="21">
        <v>2</v>
      </c>
      <c r="M37" s="21">
        <v>0</v>
      </c>
      <c r="N37" s="21">
        <v>0</v>
      </c>
    </row>
    <row r="38" spans="2:14" x14ac:dyDescent="0.2">
      <c r="B38" s="16" t="s">
        <v>72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2:14" ht="22.5" x14ac:dyDescent="0.2">
      <c r="B39" s="19" t="s">
        <v>73</v>
      </c>
      <c r="C39" s="22">
        <v>31</v>
      </c>
      <c r="D39" s="22">
        <v>29</v>
      </c>
      <c r="E39" s="22">
        <v>31</v>
      </c>
      <c r="F39" s="21">
        <v>30</v>
      </c>
      <c r="G39" s="22">
        <v>31</v>
      </c>
      <c r="H39" s="21">
        <v>30</v>
      </c>
      <c r="I39" s="22">
        <v>31</v>
      </c>
      <c r="J39" s="22">
        <v>31</v>
      </c>
      <c r="K39" s="21">
        <v>30</v>
      </c>
      <c r="L39" s="22">
        <v>31</v>
      </c>
      <c r="M39" s="21">
        <v>30</v>
      </c>
      <c r="N39" s="22">
        <v>31</v>
      </c>
    </row>
    <row r="40" spans="2:14" x14ac:dyDescent="0.2">
      <c r="H40" s="4"/>
      <c r="I40" s="4"/>
      <c r="J40" s="4"/>
      <c r="L40" s="4"/>
      <c r="M40" s="4"/>
      <c r="N40" s="4"/>
    </row>
    <row r="41" spans="2:14" x14ac:dyDescent="0.2">
      <c r="B41" s="35" t="s">
        <v>81</v>
      </c>
      <c r="C41" s="35"/>
      <c r="D41" s="35"/>
      <c r="E41" s="35"/>
      <c r="H41" s="4"/>
      <c r="I41" s="4"/>
      <c r="J41" s="4"/>
      <c r="L41" s="4"/>
      <c r="M41" s="4"/>
      <c r="N41" s="4"/>
    </row>
    <row r="42" spans="2:14" x14ac:dyDescent="0.2">
      <c r="B42" s="35"/>
      <c r="C42" s="35"/>
      <c r="D42" s="35"/>
      <c r="E42" s="35"/>
      <c r="L42" s="4"/>
      <c r="M42" s="4"/>
      <c r="N42" s="4"/>
    </row>
    <row r="43" spans="2:14" x14ac:dyDescent="0.2">
      <c r="B43" s="35" t="s">
        <v>82</v>
      </c>
      <c r="C43" s="35"/>
      <c r="D43" s="35"/>
      <c r="E43" s="35"/>
    </row>
    <row r="44" spans="2:14" x14ac:dyDescent="0.2">
      <c r="B44" s="35"/>
      <c r="C44" s="35"/>
      <c r="D44" s="35"/>
      <c r="E44" s="35"/>
    </row>
    <row r="45" spans="2:14" x14ac:dyDescent="0.2">
      <c r="B45" s="35" t="s">
        <v>79</v>
      </c>
      <c r="C45" s="35"/>
      <c r="D45" s="35"/>
      <c r="E45" s="36"/>
      <c r="F45" s="4"/>
      <c r="G45" s="4"/>
    </row>
    <row r="46" spans="2:14" x14ac:dyDescent="0.2">
      <c r="B46" s="35"/>
      <c r="C46" s="35"/>
      <c r="D46" s="35"/>
      <c r="E46" s="35"/>
    </row>
    <row r="47" spans="2:14" x14ac:dyDescent="0.2">
      <c r="B47" s="35" t="s">
        <v>80</v>
      </c>
      <c r="C47" s="35"/>
      <c r="D47" s="35"/>
      <c r="E47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Rainfall Analysis (2)</vt:lpstr>
      <vt:lpstr>Rainfall Analysis (3)</vt:lpstr>
      <vt:lpstr>Rainfall Analysis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SAH</cp:lastModifiedBy>
  <dcterms:created xsi:type="dcterms:W3CDTF">2023-08-10T07:36:35Z</dcterms:created>
  <dcterms:modified xsi:type="dcterms:W3CDTF">2023-08-10T19:42:49Z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2023-08-10T00:00:00Z</vt:filetime>
  </property>
  <property fmtid="{D5CDD505-2E9C-101B-9397-08002B2CF9AE}" pid="3" name="Producer">
    <vt:lpwstr>iLovePDF</vt:lpwstr>
  </property>
</Properties>
</file>